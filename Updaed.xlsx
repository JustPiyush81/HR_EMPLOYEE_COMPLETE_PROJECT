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admin\Desktop\EXCEL PROJECTS\"/>
    </mc:Choice>
  </mc:AlternateContent>
  <xr:revisionPtr revIDLastSave="0" documentId="13_ncr:1_{CECE31AC-74F0-48D6-99BA-4417A141CC13}" xr6:coauthVersionLast="47" xr6:coauthVersionMax="47" xr10:uidLastSave="{00000000-0000-0000-0000-000000000000}"/>
  <bookViews>
    <workbookView xWindow="-120" yWindow="-120" windowWidth="20730" windowHeight="11160" firstSheet="4" activeTab="7" xr2:uid="{00000000-000D-0000-FFFF-FFFF00000000}"/>
  </bookViews>
  <sheets>
    <sheet name="Employee_Raw_Data" sheetId="1" r:id="rId1"/>
    <sheet name="(Power Query Used)" sheetId="2" r:id="rId2"/>
    <sheet name="AVG&amp;Bonus" sheetId="3" r:id="rId3"/>
    <sheet name="EMP.Type-Wise EMP. Count" sheetId="4" r:id="rId4"/>
    <sheet name="State &amp; Perfo. Rating" sheetId="5" r:id="rId5"/>
    <sheet name="Atten. &amp; Proj. Count" sheetId="6" r:id="rId6"/>
    <sheet name="DASHBOARD ANALYSIS" sheetId="7" r:id="rId7"/>
    <sheet name="INSIGHTS" sheetId="8" r:id="rId8"/>
  </sheets>
  <definedNames>
    <definedName name="ExternalData_1" localSheetId="1" hidden="1">'(Power Query Used)'!$A$1:$T$49</definedName>
    <definedName name="Slicer_DEPARTMENT">#N/A</definedName>
    <definedName name="Slicer_Employment_Type">#N/A</definedName>
    <definedName name="Slicer_Gender">#N/A</definedName>
    <definedName name="Slicer_State">#N/A</definedName>
  </definedNames>
  <calcPr calcId="191029"/>
  <pivotCaches>
    <pivotCache cacheId="13"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 i="6" l="1"/>
  <c r="O2" i="6"/>
  <c r="M2" i="6"/>
  <c r="I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8D385CE-ABEB-447F-A3EA-FD7C1A352BEE}" keepAlive="1" name="Query - Employee_Raw_Data" description="Connection to the 'Employee_Raw_Data' query in the workbook." type="5" refreshedVersion="8" background="1" saveData="1">
    <dbPr connection="Provider=Microsoft.Mashup.OleDb.1;Data Source=$Workbook$;Location=Employee_Raw_Data;Extended Properties=&quot;&quot;" command="SELECT * FROM [Employee_Raw_Data]"/>
  </connection>
</connections>
</file>

<file path=xl/sharedStrings.xml><?xml version="1.0" encoding="utf-8"?>
<sst xmlns="http://schemas.openxmlformats.org/spreadsheetml/2006/main" count="1647" uniqueCount="497">
  <si>
    <t>⚠️ RAW DATA - NOT CLEANED | Multiple Issues: Mixed Case, Format Errors, Duplicates, Blanks, Inconsistent Values</t>
  </si>
  <si>
    <t>Emp ID</t>
  </si>
  <si>
    <t>Employee Name</t>
  </si>
  <si>
    <t>DEPARTMENT</t>
  </si>
  <si>
    <t>designation</t>
  </si>
  <si>
    <t>Join Date</t>
  </si>
  <si>
    <t>Date of Birth</t>
  </si>
  <si>
    <t>Gender</t>
  </si>
  <si>
    <t>City</t>
  </si>
  <si>
    <t>State</t>
  </si>
  <si>
    <t>Salary (Monthly)</t>
  </si>
  <si>
    <t>Bonus%</t>
  </si>
  <si>
    <t>Performance Rating</t>
  </si>
  <si>
    <t>Attendance %</t>
  </si>
  <si>
    <t>Project Count</t>
  </si>
  <si>
    <t>Manager Name</t>
  </si>
  <si>
    <t>Employment Type</t>
  </si>
  <si>
    <t>Experience (Yrs)</t>
  </si>
  <si>
    <t>Education</t>
  </si>
  <si>
    <t>Last Appraisal</t>
  </si>
  <si>
    <t>Status</t>
  </si>
  <si>
    <t>E001</t>
  </si>
  <si>
    <t>Rahul Sharma</t>
  </si>
  <si>
    <t>IT</t>
  </si>
  <si>
    <t>Senior Developer</t>
  </si>
  <si>
    <t>2019-03-15</t>
  </si>
  <si>
    <t>1990-07-22</t>
  </si>
  <si>
    <t>Male</t>
  </si>
  <si>
    <t>Delhi</t>
  </si>
  <si>
    <t>85000</t>
  </si>
  <si>
    <t>12%</t>
  </si>
  <si>
    <t>4.2</t>
  </si>
  <si>
    <t>96%</t>
  </si>
  <si>
    <t>5</t>
  </si>
  <si>
    <t>Amit Verma</t>
  </si>
  <si>
    <t>Full Time</t>
  </si>
  <si>
    <t>6</t>
  </si>
  <si>
    <t>B.Tech</t>
  </si>
  <si>
    <t>2024-01-10</t>
  </si>
  <si>
    <t>Active</t>
  </si>
  <si>
    <t>E002</t>
  </si>
  <si>
    <t>priya singh</t>
  </si>
  <si>
    <t>HR</t>
  </si>
  <si>
    <t>HR Manager</t>
  </si>
  <si>
    <t>2018-06-01</t>
  </si>
  <si>
    <t>1988-11-05</t>
  </si>
  <si>
    <t>female</t>
  </si>
  <si>
    <t>Mumbai</t>
  </si>
  <si>
    <t>Maharashtra</t>
  </si>
  <si>
    <t>72000</t>
  </si>
  <si>
    <t>10</t>
  </si>
  <si>
    <t>3.8</t>
  </si>
  <si>
    <t>91</t>
  </si>
  <si>
    <t>3</t>
  </si>
  <si>
    <t>Sunita Rao</t>
  </si>
  <si>
    <t>8</t>
  </si>
  <si>
    <t>MBA</t>
  </si>
  <si>
    <t>active</t>
  </si>
  <si>
    <t>E003</t>
  </si>
  <si>
    <t>AMIT KUMAR</t>
  </si>
  <si>
    <t>Finance</t>
  </si>
  <si>
    <t>Accountant</t>
  </si>
  <si>
    <t>2021-01-20</t>
  </si>
  <si>
    <t>1995-04-13</t>
  </si>
  <si>
    <t>Bangalore</t>
  </si>
  <si>
    <t>Karnataka</t>
  </si>
  <si>
    <t>55,000</t>
  </si>
  <si>
    <t>8%</t>
  </si>
  <si>
    <t>3.5</t>
  </si>
  <si>
    <t>88%</t>
  </si>
  <si>
    <t>2</t>
  </si>
  <si>
    <t>Rajan Mehta</t>
  </si>
  <si>
    <t>fulltime</t>
  </si>
  <si>
    <t>4</t>
  </si>
  <si>
    <t>B.Com</t>
  </si>
  <si>
    <t>2023-07-15</t>
  </si>
  <si>
    <t>ACTIVE</t>
  </si>
  <si>
    <t>E004</t>
  </si>
  <si>
    <t>Neha Gupta</t>
  </si>
  <si>
    <t>Marketing</t>
  </si>
  <si>
    <t>Marketing Executive</t>
  </si>
  <si>
    <t>2020-09-10</t>
  </si>
  <si>
    <t>1993-02-28</t>
  </si>
  <si>
    <t>Female</t>
  </si>
  <si>
    <t>Hyderabad</t>
  </si>
  <si>
    <t>Telangana</t>
  </si>
  <si>
    <t>62000</t>
  </si>
  <si>
    <t>9%</t>
  </si>
  <si>
    <t>4.0</t>
  </si>
  <si>
    <t>94%</t>
  </si>
  <si>
    <t>Pooja Nair</t>
  </si>
  <si>
    <t>BBA</t>
  </si>
  <si>
    <t>E005</t>
  </si>
  <si>
    <t>Rajesh Patel</t>
  </si>
  <si>
    <t>Junior Developer</t>
  </si>
  <si>
    <t>2022-07-05</t>
  </si>
  <si>
    <t>1998-09-17</t>
  </si>
  <si>
    <t>Pune</t>
  </si>
  <si>
    <t>42000</t>
  </si>
  <si>
    <t>5%</t>
  </si>
  <si>
    <t>3.2</t>
  </si>
  <si>
    <t>85%</t>
  </si>
  <si>
    <t>1</t>
  </si>
  <si>
    <t>Contract</t>
  </si>
  <si>
    <t>E006</t>
  </si>
  <si>
    <t>HR Director</t>
  </si>
  <si>
    <t>2015-04-12</t>
  </si>
  <si>
    <t>1982-01-30</t>
  </si>
  <si>
    <t>1,20,000</t>
  </si>
  <si>
    <t>15%</t>
  </si>
  <si>
    <t>4.7</t>
  </si>
  <si>
    <t>98%</t>
  </si>
  <si>
    <t>CEO</t>
  </si>
  <si>
    <t>14</t>
  </si>
  <si>
    <t>E007</t>
  </si>
  <si>
    <t>vikram mehta</t>
  </si>
  <si>
    <t>Operations</t>
  </si>
  <si>
    <t>Operations Head</t>
  </si>
  <si>
    <t>2017-08-22</t>
  </si>
  <si>
    <t>1985-06-15</t>
  </si>
  <si>
    <t>male</t>
  </si>
  <si>
    <t>Chennai</t>
  </si>
  <si>
    <t>Tamil Nadu</t>
  </si>
  <si>
    <t>98000</t>
  </si>
  <si>
    <t>14%</t>
  </si>
  <si>
    <t>4.5</t>
  </si>
  <si>
    <t>97%</t>
  </si>
  <si>
    <t>7</t>
  </si>
  <si>
    <t>12</t>
  </si>
  <si>
    <t>E008</t>
  </si>
  <si>
    <t>Kavita Joshi</t>
  </si>
  <si>
    <t>Finance Manager</t>
  </si>
  <si>
    <t>2016-11-30</t>
  </si>
  <si>
    <t>1987-03-08</t>
  </si>
  <si>
    <t>Kolkata</t>
  </si>
  <si>
    <t>West Bengal</t>
  </si>
  <si>
    <t>88000</t>
  </si>
  <si>
    <t>13%</t>
  </si>
  <si>
    <t>4.3</t>
  </si>
  <si>
    <t>95%</t>
  </si>
  <si>
    <t>CA</t>
  </si>
  <si>
    <t>E009</t>
  </si>
  <si>
    <t>Deepak Nair</t>
  </si>
  <si>
    <t>Tech Lead</t>
  </si>
  <si>
    <t>2018-02-14</t>
  </si>
  <si>
    <t>1991-12-25</t>
  </si>
  <si>
    <t>95000</t>
  </si>
  <si>
    <t>4.4</t>
  </si>
  <si>
    <t>Full-Time</t>
  </si>
  <si>
    <t>M.Tech</t>
  </si>
  <si>
    <t>E010</t>
  </si>
  <si>
    <t>Anjali Verma</t>
  </si>
  <si>
    <t>Marketing Manager</t>
  </si>
  <si>
    <t>2019-05-20</t>
  </si>
  <si>
    <t>1992-08-11</t>
  </si>
  <si>
    <t>78000</t>
  </si>
  <si>
    <t>11%</t>
  </si>
  <si>
    <t>4.1</t>
  </si>
  <si>
    <t>93%</t>
  </si>
  <si>
    <t>E011</t>
  </si>
  <si>
    <t>Suresh Kumar</t>
  </si>
  <si>
    <t>Logistics Executive</t>
  </si>
  <si>
    <t>2021-03-08</t>
  </si>
  <si>
    <t>1996-05-20</t>
  </si>
  <si>
    <t>Jaipur</t>
  </si>
  <si>
    <t>Rajasthan</t>
  </si>
  <si>
    <t>48000</t>
  </si>
  <si>
    <t>6%</t>
  </si>
  <si>
    <t>3.3</t>
  </si>
  <si>
    <t>87%</t>
  </si>
  <si>
    <t>Vikram Mehta</t>
  </si>
  <si>
    <t>B.Sc</t>
  </si>
  <si>
    <t>E012</t>
  </si>
  <si>
    <t>Marketing Director</t>
  </si>
  <si>
    <t>2013-09-01</t>
  </si>
  <si>
    <t>1980-10-14</t>
  </si>
  <si>
    <t>1,35,000</t>
  </si>
  <si>
    <t>16%</t>
  </si>
  <si>
    <t>4.8</t>
  </si>
  <si>
    <t>99%</t>
  </si>
  <si>
    <t>16</t>
  </si>
  <si>
    <t>E013</t>
  </si>
  <si>
    <t>Arjun Singh</t>
  </si>
  <si>
    <t>Data Analyst</t>
  </si>
  <si>
    <t>2022-01-15</t>
  </si>
  <si>
    <t>1997-07-03</t>
  </si>
  <si>
    <t>52000</t>
  </si>
  <si>
    <t>7%</t>
  </si>
  <si>
    <t>3.6</t>
  </si>
  <si>
    <t>89%</t>
  </si>
  <si>
    <t>E014</t>
  </si>
  <si>
    <t>Meena Sharma</t>
  </si>
  <si>
    <t>Tax Consultant</t>
  </si>
  <si>
    <t>2020-04-01</t>
  </si>
  <si>
    <t>1994-09-22</t>
  </si>
  <si>
    <t>59000</t>
  </si>
  <si>
    <t>3.7</t>
  </si>
  <si>
    <t>90%</t>
  </si>
  <si>
    <t>E015</t>
  </si>
  <si>
    <t>Finance Director</t>
  </si>
  <si>
    <t>2014-07-10</t>
  </si>
  <si>
    <t>1979-04-05</t>
  </si>
  <si>
    <t>1,15,000</t>
  </si>
  <si>
    <t>4.6</t>
  </si>
  <si>
    <t>15</t>
  </si>
  <si>
    <t>E016</t>
  </si>
  <si>
    <t>Nisha Agarwal</t>
  </si>
  <si>
    <t>HR Executive</t>
  </si>
  <si>
    <t>2023-02-20</t>
  </si>
  <si>
    <t>2000-01-15</t>
  </si>
  <si>
    <t>Lucknow</t>
  </si>
  <si>
    <t>Uttar Pradesh</t>
  </si>
  <si>
    <t>38000</t>
  </si>
  <si>
    <t>4%</t>
  </si>
  <si>
    <t>3.0</t>
  </si>
  <si>
    <t>82%</t>
  </si>
  <si>
    <t>E017</t>
  </si>
  <si>
    <t>Karan Malhotra</t>
  </si>
  <si>
    <t>System Admin</t>
  </si>
  <si>
    <t>2020-10-05</t>
  </si>
  <si>
    <t>1993-11-28</t>
  </si>
  <si>
    <t>58000</t>
  </si>
  <si>
    <t>E018</t>
  </si>
  <si>
    <t>Divya Pillai</t>
  </si>
  <si>
    <t>Digital Marketer</t>
  </si>
  <si>
    <t>2021-06-14</t>
  </si>
  <si>
    <t>1996-03-07</t>
  </si>
  <si>
    <t>51000</t>
  </si>
  <si>
    <t>92%</t>
  </si>
  <si>
    <t>E019</t>
  </si>
  <si>
    <t>Rohit Bansal</t>
  </si>
  <si>
    <t>Supply Chain Analyst</t>
  </si>
  <si>
    <t>2019-12-01</t>
  </si>
  <si>
    <t>1991-08-19</t>
  </si>
  <si>
    <t>63000</t>
  </si>
  <si>
    <t>full time</t>
  </si>
  <si>
    <t>E020</t>
  </si>
  <si>
    <t>Shalini Tiwari</t>
  </si>
  <si>
    <t>Recruiter</t>
  </si>
  <si>
    <t>2022-04-18</t>
  </si>
  <si>
    <t>1998-02-14</t>
  </si>
  <si>
    <t>41000</t>
  </si>
  <si>
    <t>3.4</t>
  </si>
  <si>
    <t>86%</t>
  </si>
  <si>
    <t>E021</t>
  </si>
  <si>
    <t>Mukesh Yadav</t>
  </si>
  <si>
    <t>Payroll Executive</t>
  </si>
  <si>
    <t>2021-08-30</t>
  </si>
  <si>
    <t>1995-12-01</t>
  </si>
  <si>
    <t>46000</t>
  </si>
  <si>
    <t>CONTRACT</t>
  </si>
  <si>
    <t>E022</t>
  </si>
  <si>
    <t>Rekha Iyer</t>
  </si>
  <si>
    <t>QA Engineer</t>
  </si>
  <si>
    <t>2020-03-22</t>
  </si>
  <si>
    <t>1994-06-30</t>
  </si>
  <si>
    <t>56000</t>
  </si>
  <si>
    <t>E023</t>
  </si>
  <si>
    <t>Anil Dubey</t>
  </si>
  <si>
    <t>Warehouse Manager</t>
  </si>
  <si>
    <t>2018-11-15</t>
  </si>
  <si>
    <t>1986-09-12</t>
  </si>
  <si>
    <t>71000</t>
  </si>
  <si>
    <t>10%</t>
  </si>
  <si>
    <t>9</t>
  </si>
  <si>
    <t>E024</t>
  </si>
  <si>
    <t>Shruti Bajaj</t>
  </si>
  <si>
    <t>Content Writer</t>
  </si>
  <si>
    <t>2023-01-10</t>
  </si>
  <si>
    <t>1999-05-25</t>
  </si>
  <si>
    <t>35000</t>
  </si>
  <si>
    <t>3.1</t>
  </si>
  <si>
    <t>83%</t>
  </si>
  <si>
    <t>BA</t>
  </si>
  <si>
    <t>E025</t>
  </si>
  <si>
    <t>Vinay Tripathi</t>
  </si>
  <si>
    <t>Cloud Engineer</t>
  </si>
  <si>
    <t>2019-07-08</t>
  </si>
  <si>
    <t>1992-04-16</t>
  </si>
  <si>
    <t>82000</t>
  </si>
  <si>
    <t>E026</t>
  </si>
  <si>
    <t>IT Manager</t>
  </si>
  <si>
    <t>15-01-2017</t>
  </si>
  <si>
    <t>1984-07-09</t>
  </si>
  <si>
    <t>karnataka</t>
  </si>
  <si>
    <t>1,05,000</t>
  </si>
  <si>
    <t>11</t>
  </si>
  <si>
    <t>E027</t>
  </si>
  <si>
    <t xml:space="preserve"> Prerna Singh</t>
  </si>
  <si>
    <t>marketing</t>
  </si>
  <si>
    <t>SEO Specialist</t>
  </si>
  <si>
    <t>2022-09-05</t>
  </si>
  <si>
    <t>1997-01-22</t>
  </si>
  <si>
    <t>maharashtra</t>
  </si>
  <si>
    <t>44000</t>
  </si>
  <si>
    <t>84%</t>
  </si>
  <si>
    <t>E028</t>
  </si>
  <si>
    <t>Tarun Saxena</t>
  </si>
  <si>
    <t>Financial Analyst</t>
  </si>
  <si>
    <t>2020-07-20</t>
  </si>
  <si>
    <t>1993-10-08</t>
  </si>
  <si>
    <t>DELHI</t>
  </si>
  <si>
    <t>67000</t>
  </si>
  <si>
    <t>3.9</t>
  </si>
  <si>
    <t>91%</t>
  </si>
  <si>
    <t>E029</t>
  </si>
  <si>
    <t>Geeta Mishra</t>
  </si>
  <si>
    <t>Training Manager</t>
  </si>
  <si>
    <t>2017-05-25</t>
  </si>
  <si>
    <t>1986-12-18</t>
  </si>
  <si>
    <t>76000</t>
  </si>
  <si>
    <t>E030</t>
  </si>
  <si>
    <t>Sachin Jain</t>
  </si>
  <si>
    <t>Process Analyst</t>
  </si>
  <si>
    <t>2021-11-10</t>
  </si>
  <si>
    <t>1995-03-27</t>
  </si>
  <si>
    <t>53000</t>
  </si>
  <si>
    <t>B.E</t>
  </si>
  <si>
    <t>E031</t>
  </si>
  <si>
    <t>Developer</t>
  </si>
  <si>
    <t>2022-05-01</t>
  </si>
  <si>
    <t>1997-08-10</t>
  </si>
  <si>
    <t>47000</t>
  </si>
  <si>
    <t>E032</t>
  </si>
  <si>
    <t>Harpreet Kaur</t>
  </si>
  <si>
    <t>HR Analyst</t>
  </si>
  <si>
    <t>2021-10-15</t>
  </si>
  <si>
    <t>1994-07-04</t>
  </si>
  <si>
    <t>Chandigarh</t>
  </si>
  <si>
    <t>Punjab</t>
  </si>
  <si>
    <t>49000</t>
  </si>
  <si>
    <t>E033</t>
  </si>
  <si>
    <t>Mohan Das</t>
  </si>
  <si>
    <t>2020-02-28</t>
  </si>
  <si>
    <t>1990-05-21</t>
  </si>
  <si>
    <t>61000</t>
  </si>
  <si>
    <t>E034</t>
  </si>
  <si>
    <t>Ritika Chauhan</t>
  </si>
  <si>
    <t>Brand Manager</t>
  </si>
  <si>
    <t>2019-08-12</t>
  </si>
  <si>
    <t>1991-02-06</t>
  </si>
  <si>
    <t>74000</t>
  </si>
  <si>
    <t>E035</t>
  </si>
  <si>
    <t>Yogesh Pandey</t>
  </si>
  <si>
    <t>Network Engineer</t>
  </si>
  <si>
    <t>2022-12-01</t>
  </si>
  <si>
    <t>1998-11-14</t>
  </si>
  <si>
    <t>45000</t>
  </si>
  <si>
    <t>contract</t>
  </si>
  <si>
    <t>E036</t>
  </si>
  <si>
    <t>SUNITA RAO</t>
  </si>
  <si>
    <t>FEMALE</t>
  </si>
  <si>
    <t>E037</t>
  </si>
  <si>
    <t>Alok Mishra</t>
  </si>
  <si>
    <t>Fleet Manager</t>
  </si>
  <si>
    <t>2016-06-18</t>
  </si>
  <si>
    <t>1983-08-29</t>
  </si>
  <si>
    <t>uttar pradesh</t>
  </si>
  <si>
    <t>80000</t>
  </si>
  <si>
    <t>E038</t>
  </si>
  <si>
    <t>Pallavi Reddy</t>
  </si>
  <si>
    <t>UI/UX Designer</t>
  </si>
  <si>
    <t>2021-04-22</t>
  </si>
  <si>
    <t>1995-06-10</t>
  </si>
  <si>
    <t>TELANGANA</t>
  </si>
  <si>
    <t>60000</t>
  </si>
  <si>
    <t>B.Des</t>
  </si>
  <si>
    <t>E039</t>
  </si>
  <si>
    <t>Gaurav Khanna</t>
  </si>
  <si>
    <t>Budget Analyst</t>
  </si>
  <si>
    <t>2023-06-01</t>
  </si>
  <si>
    <t>2000-09-03</t>
  </si>
  <si>
    <t>delhi</t>
  </si>
  <si>
    <t>39000</t>
  </si>
  <si>
    <t>81%</t>
  </si>
  <si>
    <t>E040</t>
  </si>
  <si>
    <t>Mamta Srivastava</t>
  </si>
  <si>
    <t>HR Generalist</t>
  </si>
  <si>
    <t>2020-08-10</t>
  </si>
  <si>
    <t>1993-04-14</t>
  </si>
  <si>
    <t>E041</t>
  </si>
  <si>
    <t>Nilesh Tiwari</t>
  </si>
  <si>
    <t>Market Research Analyst</t>
  </si>
  <si>
    <t>2022-03-07</t>
  </si>
  <si>
    <t>1996-10-28</t>
  </si>
  <si>
    <t>E042</t>
  </si>
  <si>
    <t>Vandana Kapoor</t>
  </si>
  <si>
    <t>Quality Control Executive</t>
  </si>
  <si>
    <t>2018-09-25</t>
  </si>
  <si>
    <t>1989-07-16</t>
  </si>
  <si>
    <t>57000</t>
  </si>
  <si>
    <t>E043</t>
  </si>
  <si>
    <t>Sanjay Bhatt</t>
  </si>
  <si>
    <t>DevOps Engineer</t>
  </si>
  <si>
    <t>2020-06-15</t>
  </si>
  <si>
    <t>1992-03-22</t>
  </si>
  <si>
    <t>E044</t>
  </si>
  <si>
    <t>Ritu Sharma</t>
  </si>
  <si>
    <t>Investment Analyst</t>
  </si>
  <si>
    <t>2019-10-28</t>
  </si>
  <si>
    <t>1991-05-17</t>
  </si>
  <si>
    <t>69000</t>
  </si>
  <si>
    <t>E045</t>
  </si>
  <si>
    <t>Jatin Arora</t>
  </si>
  <si>
    <t>Compensation Analyst</t>
  </si>
  <si>
    <t>2021-07-12</t>
  </si>
  <si>
    <t>1994-12-09</t>
  </si>
  <si>
    <t>Inactive</t>
  </si>
  <si>
    <t>E046</t>
  </si>
  <si>
    <t>Preeti Gulati</t>
  </si>
  <si>
    <t>Social Media Manager</t>
  </si>
  <si>
    <t>2022-11-20</t>
  </si>
  <si>
    <t>1998-04-01</t>
  </si>
  <si>
    <t>rajasthan</t>
  </si>
  <si>
    <t>43000</t>
  </si>
  <si>
    <t>E047</t>
  </si>
  <si>
    <t>Devendra Singh</t>
  </si>
  <si>
    <t>Procurement Manager</t>
  </si>
  <si>
    <t>2017-12-04</t>
  </si>
  <si>
    <t>1984-11-23</t>
  </si>
  <si>
    <t>83000</t>
  </si>
  <si>
    <t>E048</t>
  </si>
  <si>
    <t>Sonia Malhotra</t>
  </si>
  <si>
    <t>Business Analyst</t>
  </si>
  <si>
    <t>2019-04-09</t>
  </si>
  <si>
    <t>1990-08-06</t>
  </si>
  <si>
    <t>73000</t>
  </si>
  <si>
    <t>E049</t>
  </si>
  <si>
    <t>Hemant Chaudhary</t>
  </si>
  <si>
    <t>Risk Analyst</t>
  </si>
  <si>
    <t>2020-12-14</t>
  </si>
  <si>
    <t>1993-06-19</t>
  </si>
  <si>
    <t>64000</t>
  </si>
  <si>
    <t>E050</t>
  </si>
  <si>
    <t>Babita Verma</t>
  </si>
  <si>
    <t>HR Business Partner</t>
  </si>
  <si>
    <t>2016-03-28</t>
  </si>
  <si>
    <t>1985-09-11</t>
  </si>
  <si>
    <t>86000</t>
  </si>
  <si>
    <t>Designation</t>
  </si>
  <si>
    <t>It</t>
  </si>
  <si>
    <t>B.TECH</t>
  </si>
  <si>
    <t>Priya Singh</t>
  </si>
  <si>
    <t>Hr</t>
  </si>
  <si>
    <t>Hr Manager</t>
  </si>
  <si>
    <t>Amit Kumar</t>
  </si>
  <si>
    <t>B.COM</t>
  </si>
  <si>
    <t>Hr Director</t>
  </si>
  <si>
    <t>M.TECH</t>
  </si>
  <si>
    <t>B.SC</t>
  </si>
  <si>
    <t>Hr Executive</t>
  </si>
  <si>
    <t>Qa Engineer</t>
  </si>
  <si>
    <t>It Manager</t>
  </si>
  <si>
    <t>Prerna Singh</t>
  </si>
  <si>
    <t>Seo Specialist</t>
  </si>
  <si>
    <t>Ui/Ux Designer</t>
  </si>
  <si>
    <t>B.DES</t>
  </si>
  <si>
    <t>Hr Generalist</t>
  </si>
  <si>
    <t>Devops Engineer</t>
  </si>
  <si>
    <t>Hr Business Partner</t>
  </si>
  <si>
    <t>Row Labels</t>
  </si>
  <si>
    <t>Grand Total</t>
  </si>
  <si>
    <t>Sum of Bonus%</t>
  </si>
  <si>
    <t>Count of Employee Name</t>
  </si>
  <si>
    <t>Max of Performance Rating</t>
  </si>
  <si>
    <t>Count of Project Count</t>
  </si>
  <si>
    <t>TOTAL EMPLYEES</t>
  </si>
  <si>
    <t>AVERAGE SALARY</t>
  </si>
  <si>
    <t>PERFORMANCE RATING</t>
  </si>
  <si>
    <t>TOTAL ATTENDANCE</t>
  </si>
  <si>
    <t>HR Employee Analytical Report — Key Insights</t>
  </si>
  <si>
    <t>KPI Summary</t>
  </si>
  <si>
    <t>Total 50 employees hain company mein, jisme 48 active records clean data mein hain.</t>
  </si>
  <si>
    <t>Average monthly salary ₹67,813 hai jo mid-size Indian company ke liye reasonable range mein hai.</t>
  </si>
  <si>
    <t>Average performance rating 3.84/5 hai — matlab workforce overall "Good" category mein hai.</t>
  </si>
  <si>
    <t>Average attendance 2.79 project count suggest karta hai ki employees average 3 projects handle kar rahe hain.</t>
  </si>
  <si>
    <t>Department Insights</t>
  </si>
  <si>
    <t>IT department sabse zyada salary offer karta hai — Avg bonus bhi sabse high (10.76%) IT ka hai.</t>
  </si>
  <si>
    <t>Finance aur HR departments mein salary comparatively kam hai lekin stable workforce hai.</t>
  </si>
  <si>
    <t>Marketing aur Operations mein lowest bonus percentage (0.73–0.76%) dikh raha hai — appraisal review ki zaroorat ho sakti hai.</t>
  </si>
  <si>
    <t>Employment Type Insights</t>
  </si>
  <si>
    <t>Majority employees Full-Time hain — yeh company stability ka achha indicator hai.</t>
  </si>
  <si>
    <t>"Full-Time", "fulltime", "Full Time" — teen alag entries hain jo data cleaning ka issue indicate karta hai. Power Query se standardize karna zaroori tha.</t>
  </si>
  <si>
    <t>Contract employees ki count relatively kam hai — seasonal ya project-based hiring pattern dikh raha hai.</t>
  </si>
  <si>
    <t>State-wise Performance Insights</t>
  </si>
  <si>
    <t>Delhi aur Karnataka ke employees sabse high performance rating pe hain (4.7 aur 4.5).</t>
  </si>
  <si>
    <t>Rajasthan aur Uttar Pradesh mein performance rating comparatively low hai — training ya engagement program consider kiya ja sakta hai.</t>
  </si>
  <si>
    <t>Maharashtra mein employee count zyada hai lekin performance average (4.2) hai — scope for improvement hai.</t>
  </si>
  <si>
    <t>Gender-wise Insights</t>
  </si>
  <si>
    <t>Attendance percentage male aur female mein almost equal hai — healthy work culture ka sign.</t>
  </si>
  <si>
    <t>Project count bhi gender ke basis pe balanced dikh raha hai — no significant bias.</t>
  </si>
  <si>
    <t>Overall gender distribution aur workload fairly equal hai company mein.</t>
  </si>
  <si>
    <t>Recommendations</t>
  </si>
  <si>
    <t>1. Employment type data standardize karo — "fulltime/Full-Time/Full Time" ek format mein hona chahiye.</t>
  </si>
  <si>
    <t>2. Rajasthan aur UP employees ke liye performance improvement plan banana chahiye.</t>
  </si>
  <si>
    <t>3. Marketing aur Operations ka bonus structure review karo — retention risk ho sakta hai.</t>
  </si>
  <si>
    <t>4. Contract employees ka percentage track karte raho — zyada badhna company stability ke liye achha nahi.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</si>
</sst>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2" x14ac:knownFonts="1">
    <font>
      <sz val="11"/>
      <color theme="1"/>
      <name val="Calibri"/>
      <family val="2"/>
      <scheme val="minor"/>
    </font>
    <font>
      <b/>
      <sz val="11"/>
      <color rgb="FFFFFFFF"/>
      <name val="Arial"/>
      <family val="2"/>
    </font>
    <font>
      <sz val="10"/>
      <name val="Arial"/>
      <family val="2"/>
    </font>
    <font>
      <b/>
      <sz val="10"/>
      <color rgb="FFFF0000"/>
      <name val="Arial"/>
      <family val="2"/>
    </font>
    <font>
      <b/>
      <sz val="11"/>
      <color theme="1"/>
      <name val="Calibri"/>
      <family val="2"/>
      <scheme val="minor"/>
    </font>
    <font>
      <b/>
      <sz val="12"/>
      <color theme="1"/>
      <name val="Calibri"/>
      <family val="2"/>
      <scheme val="minor"/>
    </font>
    <font>
      <b/>
      <sz val="12"/>
      <color theme="0"/>
      <name val="Calibri"/>
      <family val="2"/>
      <scheme val="minor"/>
    </font>
    <font>
      <sz val="12"/>
      <color theme="1"/>
      <name val="Calibri"/>
      <family val="2"/>
      <scheme val="minor"/>
    </font>
    <font>
      <b/>
      <sz val="14"/>
      <color theme="1"/>
      <name val="Calibri"/>
      <family val="2"/>
      <scheme val="minor"/>
    </font>
    <font>
      <b/>
      <sz val="16"/>
      <color theme="1"/>
      <name val="Calibri"/>
      <family val="2"/>
      <scheme val="minor"/>
    </font>
    <font>
      <sz val="16"/>
      <color theme="1"/>
      <name val="Calibri"/>
      <family val="2"/>
      <scheme val="minor"/>
    </font>
    <font>
      <b/>
      <sz val="26"/>
      <color theme="1"/>
      <name val="Franklin Gothic Demi Cond"/>
      <family val="2"/>
    </font>
  </fonts>
  <fills count="9">
    <fill>
      <patternFill patternType="none"/>
    </fill>
    <fill>
      <patternFill patternType="gray125"/>
    </fill>
    <fill>
      <patternFill patternType="solid">
        <fgColor rgb="FF2E4057"/>
      </patternFill>
    </fill>
    <fill>
      <patternFill patternType="solid">
        <fgColor rgb="FFFFFFFF"/>
      </patternFill>
    </fill>
    <fill>
      <patternFill patternType="solid">
        <fgColor rgb="FFF2F2F2"/>
      </patternFill>
    </fill>
    <fill>
      <patternFill patternType="solid">
        <fgColor rgb="FFFFF3CD"/>
      </patternFill>
    </fill>
    <fill>
      <patternFill patternType="solid">
        <fgColor theme="0" tint="-0.499984740745262"/>
        <bgColor indexed="64"/>
      </patternFill>
    </fill>
    <fill>
      <patternFill patternType="solid">
        <fgColor theme="7" tint="-0.249977111117893"/>
        <bgColor indexed="64"/>
      </patternFill>
    </fill>
    <fill>
      <patternFill patternType="solid">
        <fgColor theme="7"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1" fillId="2" borderId="0" xfId="0" applyFont="1" applyFill="1" applyAlignment="1">
      <alignment horizontal="center" vertical="center"/>
    </xf>
    <xf numFmtId="0" fontId="2" fillId="3" borderId="0" xfId="0" applyFont="1" applyFill="1" applyAlignment="1">
      <alignment horizontal="left" vertical="center"/>
    </xf>
    <xf numFmtId="0" fontId="2" fillId="4" borderId="0" xfId="0" applyFont="1" applyFill="1" applyAlignment="1">
      <alignment horizontal="left" vertical="center"/>
    </xf>
    <xf numFmtId="0" fontId="0" fillId="0" borderId="0" xfId="0" applyAlignment="1">
      <alignment horizontal="center"/>
    </xf>
    <xf numFmtId="0" fontId="4" fillId="0" borderId="0" xfId="0" applyFont="1" applyAlignment="1">
      <alignment horizontal="center"/>
    </xf>
    <xf numFmtId="14" fontId="4" fillId="0" borderId="0" xfId="0" applyNumberFormat="1" applyFont="1" applyAlignment="1">
      <alignment horizontal="center"/>
    </xf>
    <xf numFmtId="0" fontId="3" fillId="5" borderId="0" xfId="0" applyFont="1" applyFill="1" applyAlignment="1">
      <alignment horizontal="center" vertical="center"/>
    </xf>
    <xf numFmtId="0" fontId="0" fillId="0" borderId="0" xfId="0"/>
    <xf numFmtId="0" fontId="0" fillId="0" borderId="1" xfId="0" pivotButton="1" applyBorder="1" applyAlignment="1">
      <alignment horizontal="center"/>
    </xf>
    <xf numFmtId="0" fontId="0" fillId="0" borderId="1" xfId="0" applyBorder="1" applyAlignment="1">
      <alignment horizontal="center"/>
    </xf>
    <xf numFmtId="0" fontId="0" fillId="0" borderId="1" xfId="0" applyNumberFormat="1" applyBorder="1" applyAlignment="1">
      <alignment horizontal="center"/>
    </xf>
    <xf numFmtId="0" fontId="0" fillId="6" borderId="0" xfId="0" applyFill="1"/>
    <xf numFmtId="164" fontId="0" fillId="0" borderId="0" xfId="0" applyNumberFormat="1"/>
    <xf numFmtId="2" fontId="0" fillId="0" borderId="0" xfId="0" applyNumberFormat="1"/>
    <xf numFmtId="10" fontId="0" fillId="0" borderId="0" xfId="0" applyNumberFormat="1"/>
    <xf numFmtId="0" fontId="6" fillId="6" borderId="0" xfId="0" applyFont="1" applyFill="1" applyAlignment="1">
      <alignment horizontal="center" vertical="center"/>
    </xf>
    <xf numFmtId="0" fontId="6" fillId="6" borderId="0" xfId="0" applyFont="1" applyFill="1" applyAlignment="1">
      <alignment vertical="center"/>
    </xf>
    <xf numFmtId="0" fontId="6" fillId="6" borderId="0" xfId="0" applyFont="1" applyFill="1"/>
    <xf numFmtId="0" fontId="0" fillId="7" borderId="0" xfId="0" applyFill="1"/>
    <xf numFmtId="0" fontId="11" fillId="8" borderId="0" xfId="0" applyFont="1" applyFill="1" applyAlignment="1">
      <alignment horizontal="center" vertical="center"/>
    </xf>
    <xf numFmtId="0" fontId="5" fillId="8" borderId="0" xfId="0" applyFont="1" applyFill="1" applyAlignment="1">
      <alignment vertical="center"/>
    </xf>
    <xf numFmtId="0" fontId="0" fillId="8" borderId="0" xfId="0" applyFill="1"/>
    <xf numFmtId="0" fontId="0" fillId="8" borderId="0" xfId="0" applyFill="1" applyAlignment="1">
      <alignment horizontal="left" vertical="center" indent="1"/>
    </xf>
    <xf numFmtId="0" fontId="4" fillId="8" borderId="0" xfId="0" applyFont="1" applyFill="1"/>
    <xf numFmtId="0" fontId="5" fillId="8" borderId="0" xfId="0" applyFont="1" applyFill="1" applyAlignment="1">
      <alignment horizontal="left" vertical="center"/>
    </xf>
    <xf numFmtId="0" fontId="8" fillId="8" borderId="0" xfId="0" applyFont="1" applyFill="1" applyAlignment="1">
      <alignment horizontal="left" vertical="center"/>
    </xf>
    <xf numFmtId="0" fontId="4" fillId="8" borderId="0" xfId="0" applyFont="1" applyFill="1" applyAlignment="1">
      <alignment horizontal="left" vertical="center" indent="1"/>
    </xf>
    <xf numFmtId="0" fontId="5" fillId="8" borderId="0" xfId="0" applyFont="1" applyFill="1" applyAlignment="1">
      <alignment horizontal="left"/>
    </xf>
    <xf numFmtId="0" fontId="7" fillId="8" borderId="0" xfId="0" applyFont="1" applyFill="1"/>
    <xf numFmtId="0" fontId="9" fillId="8" borderId="0" xfId="0" applyFont="1" applyFill="1" applyAlignment="1">
      <alignment vertical="center"/>
    </xf>
    <xf numFmtId="0" fontId="10" fillId="8" borderId="0" xfId="0" applyFont="1" applyFill="1"/>
  </cellXfs>
  <cellStyles count="1">
    <cellStyle name="Normal" xfId="0" builtinId="0"/>
  </cellStyles>
  <dxfs count="1166">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font>
      <numFmt numFmtId="0" formatCode="General"/>
      <alignment horizontal="center" vertical="bottom" textRotation="0" wrapText="0" indent="0" justifyLastLine="0" shrinkToFit="0" readingOrder="0"/>
    </dxf>
    <dxf>
      <font>
        <b/>
      </font>
      <numFmt numFmtId="19" formatCode="dd/mm/yyyy"/>
      <alignment horizontal="center" vertical="bottom" textRotation="0" wrapText="0" indent="0" justifyLastLine="0" shrinkToFit="0" readingOrder="0"/>
    </dxf>
    <dxf>
      <font>
        <b/>
      </font>
      <numFmt numFmtId="0" formatCode="General"/>
      <alignment horizontal="center" vertical="bottom" textRotation="0" wrapText="0" indent="0" justifyLastLine="0" shrinkToFit="0" readingOrder="0"/>
    </dxf>
    <dxf>
      <font>
        <b/>
      </font>
      <alignment horizontal="center" vertical="bottom" textRotation="0" wrapText="0" indent="0" justifyLastLine="0" shrinkToFit="0" readingOrder="0"/>
    </dxf>
    <dxf>
      <font>
        <b/>
      </font>
      <numFmt numFmtId="0" formatCode="General"/>
      <alignment horizontal="center" vertical="bottom" textRotation="0" wrapText="0" indent="0" justifyLastLine="0" shrinkToFit="0" readingOrder="0"/>
    </dxf>
    <dxf>
      <font>
        <b/>
      </font>
      <numFmt numFmtId="0" formatCode="General"/>
      <alignment horizontal="center" vertical="bottom" textRotation="0" wrapText="0" indent="0" justifyLastLine="0" shrinkToFit="0" readingOrder="0"/>
    </dxf>
    <dxf>
      <font>
        <b/>
      </font>
      <alignment horizontal="center" vertical="bottom" textRotation="0" wrapText="0" indent="0" justifyLastLine="0" shrinkToFit="0" readingOrder="0"/>
    </dxf>
    <dxf>
      <font>
        <b/>
      </font>
      <alignment horizontal="center" vertical="bottom" textRotation="0" wrapText="0" indent="0" justifyLastLine="0" shrinkToFit="0" readingOrder="0"/>
    </dxf>
    <dxf>
      <font>
        <b/>
      </font>
      <alignment horizontal="center" vertical="bottom" textRotation="0" wrapText="0" indent="0" justifyLastLine="0" shrinkToFit="0" readingOrder="0"/>
    </dxf>
    <dxf>
      <font>
        <b/>
      </font>
      <alignment horizontal="center" vertical="bottom" textRotation="0" wrapText="0" indent="0" justifyLastLine="0" shrinkToFit="0" readingOrder="0"/>
    </dxf>
    <dxf>
      <font>
        <b/>
      </font>
      <alignment horizontal="center" vertical="bottom" textRotation="0" wrapText="0" indent="0" justifyLastLine="0" shrinkToFit="0" readingOrder="0"/>
    </dxf>
    <dxf>
      <font>
        <b/>
      </font>
      <numFmt numFmtId="0" formatCode="General"/>
      <alignment horizontal="center" vertical="bottom" textRotation="0" wrapText="0" indent="0" justifyLastLine="0" shrinkToFit="0" readingOrder="0"/>
    </dxf>
    <dxf>
      <font>
        <b/>
      </font>
      <numFmt numFmtId="0" formatCode="General"/>
      <alignment horizontal="center" vertical="bottom" textRotation="0" wrapText="0" indent="0" justifyLastLine="0" shrinkToFit="0" readingOrder="0"/>
    </dxf>
    <dxf>
      <font>
        <b/>
      </font>
      <numFmt numFmtId="0" formatCode="General"/>
      <alignment horizontal="center" vertical="bottom" textRotation="0" wrapText="0" indent="0" justifyLastLine="0" shrinkToFit="0" readingOrder="0"/>
    </dxf>
    <dxf>
      <font>
        <b/>
      </font>
      <numFmt numFmtId="19" formatCode="dd/mm/yyyy"/>
      <alignment horizontal="center" vertical="bottom" textRotation="0" wrapText="0" indent="0" justifyLastLine="0" shrinkToFit="0" readingOrder="0"/>
    </dxf>
    <dxf>
      <font>
        <b/>
      </font>
      <numFmt numFmtId="19" formatCode="dd/mm/yyyy"/>
      <alignment horizontal="center" vertical="bottom" textRotation="0" wrapText="0" indent="0" justifyLastLine="0" shrinkToFit="0" readingOrder="0"/>
    </dxf>
    <dxf>
      <font>
        <b/>
      </font>
      <numFmt numFmtId="0" formatCode="General"/>
      <alignment horizontal="center" vertical="bottom" textRotation="0" wrapText="0" indent="0" justifyLastLine="0" shrinkToFit="0" readingOrder="0"/>
    </dxf>
    <dxf>
      <font>
        <b/>
      </font>
      <numFmt numFmtId="0" formatCode="General"/>
      <alignment horizontal="center" vertical="bottom" textRotation="0" wrapText="0" indent="0" justifyLastLine="0" shrinkToFit="0" readingOrder="0"/>
    </dxf>
    <dxf>
      <font>
        <b/>
      </font>
      <numFmt numFmtId="0" formatCode="General"/>
      <alignment horizontal="center" vertical="bottom" textRotation="0" wrapText="0" indent="0" justifyLastLine="0" shrinkToFit="0" readingOrder="0"/>
    </dxf>
    <dxf>
      <font>
        <b/>
      </font>
      <numFmt numFmtId="0" formatCode="General"/>
      <alignment horizontal="center" vertical="bottom" textRotation="0" wrapText="0" indent="0" justifyLastLine="0" shrinkToFit="0" readingOrder="0"/>
    </dxf>
    <dxf>
      <font>
        <b/>
      </font>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[Updaed.xlsx]AVG&amp;Bonus!PivotTable1</c:name>
    <c:fmtId val="3"/>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a:t>Dep.</a:t>
            </a:r>
            <a:r>
              <a:rPr lang="en-IN" baseline="0"/>
              <a:t> WISE AVG. SALARY &amp; BONUS</a:t>
            </a:r>
            <a:endParaRPr lang="en-IN"/>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pPr>
            <a:solidFill>
              <a:schemeClr val="accent1"/>
            </a:solidFill>
            <a:ln w="9525">
              <a:solidFill>
                <a:schemeClr val="dk1">
                  <a:lumMod val="75000"/>
                  <a:lumOff val="25000"/>
                </a:schemeClr>
              </a:solid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'AVG&amp;Bonus'!$D$8</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'AVG&amp;Bonus'!$C$9:$C$14</c:f>
              <c:strCache>
                <c:ptCount val="5"/>
                <c:pt idx="0">
                  <c:v>Finance</c:v>
                </c:pt>
                <c:pt idx="1">
                  <c:v>Hr</c:v>
                </c:pt>
                <c:pt idx="2">
                  <c:v>It</c:v>
                </c:pt>
                <c:pt idx="3">
                  <c:v>Marketing</c:v>
                </c:pt>
                <c:pt idx="4">
                  <c:v>Operations</c:v>
                </c:pt>
              </c:strCache>
            </c:strRef>
          </c:cat>
          <c:val>
            <c:numRef>
              <c:f>'AVG&amp;Bonus'!$D$9:$D$14</c:f>
              <c:numCache>
                <c:formatCode>General</c:formatCode>
                <c:ptCount val="5"/>
                <c:pt idx="0">
                  <c:v>0.80999999999999994</c:v>
                </c:pt>
                <c:pt idx="1">
                  <c:v>10.76</c:v>
                </c:pt>
                <c:pt idx="2">
                  <c:v>1.1400000000000001</c:v>
                </c:pt>
                <c:pt idx="3">
                  <c:v>0.73</c:v>
                </c:pt>
                <c:pt idx="4">
                  <c:v>0.76</c:v>
                </c:pt>
              </c:numCache>
            </c:numRef>
          </c:val>
          <c:extLst>
            <c:ext xmlns:c16="http://schemas.microsoft.com/office/drawing/2014/chart" uri="{C3380CC4-5D6E-409C-BE32-E72D297353CC}">
              <c16:uniqueId val="{00000000-C796-4D9C-853C-F7429E3B7746}"/>
            </c:ext>
          </c:extLst>
        </c:ser>
        <c:dLbls>
          <c:showLegendKey val="0"/>
          <c:showVal val="1"/>
          <c:showCatName val="0"/>
          <c:showSerName val="0"/>
          <c:showPercent val="0"/>
          <c:showBubbleSize val="0"/>
        </c:dLbls>
        <c:gapWidth val="84"/>
        <c:gapDepth val="53"/>
        <c:shape val="box"/>
        <c:axId val="1900286160"/>
        <c:axId val="1900276080"/>
        <c:axId val="0"/>
      </c:bar3DChart>
      <c:catAx>
        <c:axId val="19002861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00276080"/>
        <c:crosses val="autoZero"/>
        <c:auto val="1"/>
        <c:lblAlgn val="ctr"/>
        <c:lblOffset val="100"/>
        <c:noMultiLvlLbl val="0"/>
      </c:catAx>
      <c:valAx>
        <c:axId val="1900276080"/>
        <c:scaling>
          <c:orientation val="minMax"/>
        </c:scaling>
        <c:delete val="1"/>
        <c:axPos val="l"/>
        <c:numFmt formatCode="General" sourceLinked="1"/>
        <c:majorTickMark val="out"/>
        <c:minorTickMark val="none"/>
        <c:tickLblPos val="nextTo"/>
        <c:crossAx val="1900286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[Updaed.xlsx]EMP.Type-Wise EMP. Count!PivotTable2</c:name>
    <c:fmtId val="0"/>
  </c:pivotSource>
  <c:chart>
    <c:title>
      <c:tx>
        <c:rich>
          <a:bodyPr rot="0" spcFirstLastPara="1" vertOverflow="ellipsis" vert="horz" wrap="square" anchor="ctr" anchorCtr="1"/>
          <a:lstStyle/>
          <a:p>
            <a:pPr>
              <a:defRPr sz="1800" b="1" i="0" u="none" strike="noStrike" kern="1200" cap="all" spc="150" baseline="0">
                <a:solidFill>
                  <a:schemeClr val="bg1">
                    <a:lumMod val="85000"/>
                  </a:schemeClr>
                </a:solidFill>
                <a:latin typeface="+mn-lt"/>
                <a:ea typeface="+mn-ea"/>
                <a:cs typeface="+mn-cs"/>
              </a:defRPr>
            </a:pPr>
            <a:r>
              <a:rPr lang="en-IN">
                <a:solidFill>
                  <a:schemeClr val="bg1">
                    <a:lumMod val="85000"/>
                  </a:schemeClr>
                </a:solidFill>
              </a:rPr>
              <a:t>EMP.Type-Wise EMP. Count</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bg1">
                  <a:lumMod val="85000"/>
                </a:schemeClr>
              </a:solidFill>
              <a:latin typeface="+mn-lt"/>
              <a:ea typeface="+mn-ea"/>
              <a:cs typeface="+mn-cs"/>
            </a:defRPr>
          </a:pPr>
          <a:endParaRPr lang="en-US"/>
        </a:p>
      </c:txPr>
    </c:title>
    <c:autoTitleDeleted val="0"/>
    <c:pivotFmts>
      <c:pivotFmt>
        <c:idx val="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'EMP.Type-Wise EMP. Count'!$D$4</c:f>
              <c:strCache>
                <c:ptCount val="1"/>
                <c:pt idx="0">
                  <c:v>Total</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cat>
            <c:strRef>
              <c:f>'EMP.Type-Wise EMP. Count'!$C$5:$C$9</c:f>
              <c:strCache>
                <c:ptCount val="4"/>
                <c:pt idx="0">
                  <c:v>Contract</c:v>
                </c:pt>
                <c:pt idx="1">
                  <c:v>Full Time</c:v>
                </c:pt>
                <c:pt idx="2">
                  <c:v>fulltime</c:v>
                </c:pt>
                <c:pt idx="3">
                  <c:v>Full-Time</c:v>
                </c:pt>
              </c:strCache>
            </c:strRef>
          </c:cat>
          <c:val>
            <c:numRef>
              <c:f>'EMP.Type-Wise EMP. Count'!$D$5:$D$9</c:f>
              <c:numCache>
                <c:formatCode>General</c:formatCode>
                <c:ptCount val="4"/>
                <c:pt idx="0">
                  <c:v>9</c:v>
                </c:pt>
                <c:pt idx="1">
                  <c:v>37</c:v>
                </c:pt>
                <c:pt idx="2">
                  <c:v>1</c:v>
                </c:pt>
                <c:pt idx="3">
                  <c:v>1</c:v>
                </c:pt>
              </c:numCache>
            </c:numRef>
          </c:val>
          <c:extLst>
            <c:ext xmlns:c16="http://schemas.microsoft.com/office/drawing/2014/chart" uri="{C3380CC4-5D6E-409C-BE32-E72D297353CC}">
              <c16:uniqueId val="{00000000-3A86-4D6C-A029-DF5971DC5561}"/>
            </c:ext>
          </c:extLst>
        </c:ser>
        <c:dLbls>
          <c:showLegendKey val="0"/>
          <c:showVal val="0"/>
          <c:showCatName val="0"/>
          <c:showSerName val="0"/>
          <c:showPercent val="0"/>
          <c:showBubbleSize val="0"/>
        </c:dLbls>
        <c:gapWidth val="150"/>
        <c:shape val="box"/>
        <c:axId val="8557632"/>
        <c:axId val="8577312"/>
        <c:axId val="0"/>
      </c:bar3DChart>
      <c:catAx>
        <c:axId val="8557632"/>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8577312"/>
        <c:crosses val="autoZero"/>
        <c:auto val="1"/>
        <c:lblAlgn val="ctr"/>
        <c:lblOffset val="100"/>
        <c:noMultiLvlLbl val="0"/>
      </c:catAx>
      <c:valAx>
        <c:axId val="8577312"/>
        <c:scaling>
          <c:orientation val="minMax"/>
        </c:scaling>
        <c:delete val="0"/>
        <c:axPos val="b"/>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557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[Updaed.xlsx]State &amp; Perfo. Rating!PivotTable3</c:name>
    <c:fmtId val="0"/>
  </c:pivotSource>
  <c:chart>
    <c:title>
      <c:tx>
        <c:rich>
          <a:bodyPr rot="0" spcFirstLastPara="1" vertOverflow="ellipsis" vert="horz" wrap="square" anchor="ctr" anchorCtr="1"/>
          <a:lstStyle/>
          <a:p>
            <a:pPr>
              <a:defRPr sz="1800" b="1" i="0" u="none" strike="noStrike" kern="1200" cap="all" baseline="0">
                <a:solidFill>
                  <a:schemeClr val="bg1"/>
                </a:solidFill>
                <a:latin typeface="+mn-lt"/>
                <a:ea typeface="+mn-ea"/>
                <a:cs typeface="+mn-cs"/>
              </a:defRPr>
            </a:pPr>
            <a:r>
              <a:rPr lang="en-US">
                <a:solidFill>
                  <a:schemeClr val="bg1"/>
                </a:solidFill>
              </a:rPr>
              <a:t>State</a:t>
            </a:r>
            <a:r>
              <a:rPr lang="en-US" baseline="0">
                <a:solidFill>
                  <a:schemeClr val="bg1"/>
                </a:solidFill>
              </a:rPr>
              <a:t> wise performance rating</a:t>
            </a:r>
            <a:endParaRPr lang="en-US">
              <a:solidFill>
                <a:schemeClr val="bg1"/>
              </a:solidFill>
            </a:endParaRPr>
          </a:p>
        </c:rich>
      </c:tx>
      <c:overlay val="0"/>
      <c:spPr>
        <a:solidFill>
          <a:schemeClr val="tx1"/>
        </a:solidFill>
        <a:ln>
          <a:noFill/>
        </a:ln>
        <a:effectLst/>
      </c:spPr>
      <c:txPr>
        <a:bodyPr rot="0" spcFirstLastPara="1" vertOverflow="ellipsis" vert="horz" wrap="square" anchor="ctr" anchorCtr="1"/>
        <a:lstStyle/>
        <a:p>
          <a:pPr>
            <a:defRPr sz="1800" b="1" i="0" u="none" strike="noStrike" kern="1200" cap="all" baseline="0">
              <a:solidFill>
                <a:schemeClr val="bg1"/>
              </a:solidFill>
              <a:latin typeface="+mn-lt"/>
              <a:ea typeface="+mn-ea"/>
              <a:cs typeface="+mn-cs"/>
            </a:defRPr>
          </a:pPr>
          <a:endParaRPr lang="en-US"/>
        </a:p>
      </c:txPr>
    </c:title>
    <c:autoTitleDeleted val="0"/>
    <c:pivotFmts>
      <c:pivotFmt>
        <c:idx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circle"/>
          <c:size val="6"/>
        </c:marke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60000"/>
              <a:alpha val="90000"/>
            </a:schemeClr>
          </a:solidFill>
          <a:ln w="19050">
            <a:solidFill>
              <a:schemeClr val="accent1">
                <a:lumMod val="60000"/>
                <a:lumMod val="75000"/>
              </a:schemeClr>
            </a:solidFill>
          </a:ln>
          <a:effectLst>
            <a:innerShdw blurRad="114300">
              <a:schemeClr val="accent1">
                <a:lumMod val="60000"/>
                <a:lumMod val="75000"/>
              </a:schemeClr>
            </a:innerShdw>
          </a:effectLst>
          <a:scene3d>
            <a:camera prst="orthographicFront"/>
            <a:lightRig rig="threePt" dir="t"/>
          </a:scene3d>
          <a:sp3d contourW="19050" prstMaterial="flat">
            <a:contourClr>
              <a:schemeClr val="accent1">
                <a:lumMod val="60000"/>
                <a:lumMod val="75000"/>
              </a:schemeClr>
            </a:contourClr>
          </a:sp3d>
        </c:spP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60000"/>
              <a:alpha val="90000"/>
            </a:schemeClr>
          </a:solidFill>
          <a:ln w="19050">
            <a:solidFill>
              <a:schemeClr val="accent2">
                <a:lumMod val="60000"/>
                <a:lumMod val="75000"/>
              </a:schemeClr>
            </a:solidFill>
          </a:ln>
          <a:effectLst>
            <a:innerShdw blurRad="114300">
              <a:schemeClr val="accent2">
                <a:lumMod val="60000"/>
                <a:lumMod val="75000"/>
              </a:schemeClr>
            </a:innerShdw>
          </a:effectLst>
          <a:scene3d>
            <a:camera prst="orthographicFront"/>
            <a:lightRig rig="threePt" dir="t"/>
          </a:scene3d>
          <a:sp3d contourW="19050" prstMaterial="flat">
            <a:contourClr>
              <a:schemeClr val="accent2">
                <a:lumMod val="60000"/>
                <a:lumMod val="75000"/>
              </a:schemeClr>
            </a:contourClr>
          </a:sp3d>
        </c:spP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6111111111111108E-2"/>
          <c:y val="0.20309966462525517"/>
          <c:w val="0.80212029746281721"/>
          <c:h val="0.75060403907844853"/>
        </c:manualLayout>
      </c:layout>
      <c:pie3DChart>
        <c:varyColors val="1"/>
        <c:ser>
          <c:idx val="0"/>
          <c:order val="0"/>
          <c:tx>
            <c:strRef>
              <c:f>'State &amp; Perfo. Rating'!$D$4</c:f>
              <c:strCache>
                <c:ptCount val="1"/>
                <c:pt idx="0">
                  <c:v>Total</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2-7EA7-46F8-933F-61831297AB21}"/>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3-7EA7-46F8-933F-61831297AB21}"/>
              </c:ext>
            </c:extLst>
          </c:dPt>
          <c:dPt>
            <c:idx val="2"/>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04-7EA7-46F8-933F-61831297AB21}"/>
              </c:ext>
            </c:extLst>
          </c:dPt>
          <c:dPt>
            <c:idx val="3"/>
            <c:bubble3D val="0"/>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extLst>
              <c:ext xmlns:c16="http://schemas.microsoft.com/office/drawing/2014/chart" uri="{C3380CC4-5D6E-409C-BE32-E72D297353CC}">
                <c16:uniqueId val="{00000005-7EA7-46F8-933F-61831297AB21}"/>
              </c:ext>
            </c:extLst>
          </c:dPt>
          <c:dPt>
            <c:idx val="4"/>
            <c:bubble3D val="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extLst>
              <c:ext xmlns:c16="http://schemas.microsoft.com/office/drawing/2014/chart" uri="{C3380CC4-5D6E-409C-BE32-E72D297353CC}">
                <c16:uniqueId val="{00000006-7EA7-46F8-933F-61831297AB21}"/>
              </c:ext>
            </c:extLst>
          </c:dPt>
          <c:dPt>
            <c:idx val="5"/>
            <c:bubble3D val="0"/>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extLst>
              <c:ext xmlns:c16="http://schemas.microsoft.com/office/drawing/2014/chart" uri="{C3380CC4-5D6E-409C-BE32-E72D297353CC}">
                <c16:uniqueId val="{00000007-7EA7-46F8-933F-61831297AB21}"/>
              </c:ext>
            </c:extLst>
          </c:dPt>
          <c:dPt>
            <c:idx val="6"/>
            <c:bubble3D val="0"/>
            <c:spPr>
              <a:solidFill>
                <a:schemeClr val="accent1">
                  <a:lumMod val="60000"/>
                  <a:alpha val="90000"/>
                </a:schemeClr>
              </a:solidFill>
              <a:ln w="19050">
                <a:solidFill>
                  <a:schemeClr val="accent1">
                    <a:lumMod val="60000"/>
                    <a:lumMod val="75000"/>
                  </a:schemeClr>
                </a:solidFill>
              </a:ln>
              <a:effectLst>
                <a:innerShdw blurRad="114300">
                  <a:schemeClr val="accent1">
                    <a:lumMod val="60000"/>
                    <a:lumMod val="75000"/>
                  </a:schemeClr>
                </a:innerShdw>
              </a:effectLst>
              <a:scene3d>
                <a:camera prst="orthographicFront"/>
                <a:lightRig rig="threePt" dir="t"/>
              </a:scene3d>
              <a:sp3d contourW="19050" prstMaterial="flat">
                <a:contourClr>
                  <a:schemeClr val="accent1">
                    <a:lumMod val="60000"/>
                    <a:lumMod val="75000"/>
                  </a:schemeClr>
                </a:contourClr>
              </a:sp3d>
            </c:spPr>
            <c:extLst>
              <c:ext xmlns:c16="http://schemas.microsoft.com/office/drawing/2014/chart" uri="{C3380CC4-5D6E-409C-BE32-E72D297353CC}">
                <c16:uniqueId val="{00000008-7EA7-46F8-933F-61831297AB21}"/>
              </c:ext>
            </c:extLst>
          </c:dPt>
          <c:dPt>
            <c:idx val="7"/>
            <c:bubble3D val="0"/>
            <c:spPr>
              <a:solidFill>
                <a:schemeClr val="accent2">
                  <a:lumMod val="60000"/>
                  <a:alpha val="90000"/>
                </a:schemeClr>
              </a:solidFill>
              <a:ln w="19050">
                <a:solidFill>
                  <a:schemeClr val="accent2">
                    <a:lumMod val="60000"/>
                    <a:lumMod val="75000"/>
                  </a:schemeClr>
                </a:solidFill>
              </a:ln>
              <a:effectLst>
                <a:innerShdw blurRad="114300">
                  <a:schemeClr val="accent2">
                    <a:lumMod val="60000"/>
                    <a:lumMod val="75000"/>
                  </a:schemeClr>
                </a:innerShdw>
              </a:effectLst>
              <a:scene3d>
                <a:camera prst="orthographicFront"/>
                <a:lightRig rig="threePt" dir="t"/>
              </a:scene3d>
              <a:sp3d contourW="19050" prstMaterial="flat">
                <a:contourClr>
                  <a:schemeClr val="accent2">
                    <a:lumMod val="60000"/>
                    <a:lumMod val="75000"/>
                  </a:schemeClr>
                </a:contourClr>
              </a:sp3d>
            </c:spPr>
            <c:extLst>
              <c:ext xmlns:c16="http://schemas.microsoft.com/office/drawing/2014/chart" uri="{C3380CC4-5D6E-409C-BE32-E72D297353CC}">
                <c16:uniqueId val="{00000009-7EA7-46F8-933F-61831297AB21}"/>
              </c:ext>
            </c:extLst>
          </c:dPt>
          <c:dLbls>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'State &amp; Perfo. Rating'!$C$5:$C$13</c:f>
              <c:strCache>
                <c:ptCount val="8"/>
                <c:pt idx="0">
                  <c:v>Delhi</c:v>
                </c:pt>
                <c:pt idx="1">
                  <c:v>Karnataka</c:v>
                </c:pt>
                <c:pt idx="2">
                  <c:v>Maharashtra</c:v>
                </c:pt>
                <c:pt idx="3">
                  <c:v>Rajasthan</c:v>
                </c:pt>
                <c:pt idx="4">
                  <c:v>Tamil Nadu</c:v>
                </c:pt>
                <c:pt idx="5">
                  <c:v>Telangana</c:v>
                </c:pt>
                <c:pt idx="6">
                  <c:v>Uttar Pradesh</c:v>
                </c:pt>
                <c:pt idx="7">
                  <c:v>West Bengal</c:v>
                </c:pt>
              </c:strCache>
            </c:strRef>
          </c:cat>
          <c:val>
            <c:numRef>
              <c:f>'State &amp; Perfo. Rating'!$D$5:$D$13</c:f>
              <c:numCache>
                <c:formatCode>General</c:formatCode>
                <c:ptCount val="8"/>
                <c:pt idx="0">
                  <c:v>4.7</c:v>
                </c:pt>
                <c:pt idx="1">
                  <c:v>4.5</c:v>
                </c:pt>
                <c:pt idx="2">
                  <c:v>4.8</c:v>
                </c:pt>
                <c:pt idx="3">
                  <c:v>3.5</c:v>
                </c:pt>
                <c:pt idx="4">
                  <c:v>4.5</c:v>
                </c:pt>
                <c:pt idx="5">
                  <c:v>4.3</c:v>
                </c:pt>
                <c:pt idx="6">
                  <c:v>4.2</c:v>
                </c:pt>
                <c:pt idx="7">
                  <c:v>4.3</c:v>
                </c:pt>
              </c:numCache>
            </c:numRef>
          </c:val>
          <c:extLst>
            <c:ext xmlns:c16="http://schemas.microsoft.com/office/drawing/2014/chart" uri="{C3380CC4-5D6E-409C-BE32-E72D297353CC}">
              <c16:uniqueId val="{00000000-7EA7-46F8-933F-61831297AB21}"/>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77150043744531938"/>
          <c:y val="0.45680847185768447"/>
          <c:w val="0.20905511811023619"/>
          <c:h val="0.49728382910469515"/>
        </c:manualLayout>
      </c:layout>
      <c:overlay val="0"/>
      <c:spPr>
        <a:solidFill>
          <a:schemeClr val="tx1">
            <a:lumMod val="85000"/>
            <a:lumOff val="15000"/>
          </a:schemeClr>
        </a:solid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[Updaed.xlsx]Atten. &amp; Proj. Count!PivotTable5</c:name>
    <c:fmtId val="0"/>
  </c:pivotSource>
  <c:chart>
    <c:title>
      <c:tx>
        <c:rich>
          <a:bodyPr rot="0" spcFirstLastPara="1" vertOverflow="ellipsis" vert="horz" wrap="square" anchor="ctr" anchorCtr="1"/>
          <a:lstStyle/>
          <a:p>
            <a:pPr>
              <a:defRPr sz="1800" b="1" i="0" u="none" strike="noStrike" kern="1200" cap="all" spc="50" baseline="0">
                <a:solidFill>
                  <a:schemeClr val="bg1"/>
                </a:solidFill>
                <a:latin typeface="+mn-lt"/>
                <a:ea typeface="+mn-ea"/>
                <a:cs typeface="+mn-cs"/>
              </a:defRPr>
            </a:pPr>
            <a:r>
              <a:rPr lang="en-IN" sz="1800" b="1" i="0" u="none" strike="noStrike" cap="all" baseline="0"/>
              <a:t>Gender-wise Attendance &amp; Project Count</a:t>
            </a:r>
            <a:endParaRPr lang="en-US">
              <a:solidFill>
                <a:schemeClr val="bg1"/>
              </a:solidFill>
            </a:endParaRPr>
          </a:p>
        </c:rich>
      </c:tx>
      <c:layout>
        <c:manualLayout>
          <c:xMode val="edge"/>
          <c:yMode val="edge"/>
          <c:x val="0.16869444444444445"/>
          <c:y val="3.6016331291921846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bg1"/>
              </a:solidFill>
              <a:latin typeface="+mn-lt"/>
              <a:ea typeface="+mn-ea"/>
              <a:cs typeface="+mn-cs"/>
            </a:defRPr>
          </a:pPr>
          <a:endParaRPr lang="en-US"/>
        </a:p>
      </c:txPr>
    </c:title>
    <c:autoTitleDeleted val="0"/>
    <c:pivotFmts>
      <c:pivotFmt>
        <c:idx val="0"/>
        <c:spPr>
          <a:gradFill>
            <a:gsLst>
              <a:gs pos="100000">
                <a:schemeClr val="accent1">
                  <a:alpha val="0"/>
                </a:schemeClr>
              </a:gs>
              <a:gs pos="50000">
                <a:schemeClr val="accent1"/>
              </a:gs>
            </a:gsLst>
            <a:lin ang="5400000" scaled="0"/>
          </a:gra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'Atten. &amp; Proj. Count'!$D$4</c:f>
              <c:strCache>
                <c:ptCount val="1"/>
                <c:pt idx="0">
                  <c:v>Total</c:v>
                </c:pt>
              </c:strCache>
            </c:strRef>
          </c:tx>
          <c:spPr>
            <a:gradFill>
              <a:gsLst>
                <a:gs pos="100000">
                  <a:schemeClr val="accent1">
                    <a:alpha val="0"/>
                  </a:schemeClr>
                </a:gs>
                <a:gs pos="50000">
                  <a:schemeClr val="accent1"/>
                </a:gs>
              </a:gsLst>
              <a:lin ang="5400000" scaled="0"/>
            </a:gradFill>
            <a:ln>
              <a:noFill/>
            </a:ln>
            <a:effectLst/>
            <a:sp3d/>
          </c:spPr>
          <c:invertIfNegative val="0"/>
          <c:cat>
            <c:multiLvlStrRef>
              <c:f>'Atten. &amp; Proj. Count'!$C$5:$C$35</c:f>
              <c:multiLvlStrCache>
                <c:ptCount val="28"/>
                <c:lvl>
                  <c:pt idx="0">
                    <c:v>0.82</c:v>
                  </c:pt>
                  <c:pt idx="1">
                    <c:v>0.83</c:v>
                  </c:pt>
                  <c:pt idx="2">
                    <c:v>0.84</c:v>
                  </c:pt>
                  <c:pt idx="3">
                    <c:v>0.85</c:v>
                  </c:pt>
                  <c:pt idx="4">
                    <c:v>0.86</c:v>
                  </c:pt>
                  <c:pt idx="5">
                    <c:v>0.89</c:v>
                  </c:pt>
                  <c:pt idx="6">
                    <c:v>0.9</c:v>
                  </c:pt>
                  <c:pt idx="7">
                    <c:v>0.91</c:v>
                  </c:pt>
                  <c:pt idx="8">
                    <c:v>0.92</c:v>
                  </c:pt>
                  <c:pt idx="9">
                    <c:v>0.93</c:v>
                  </c:pt>
                  <c:pt idx="10">
                    <c:v>0.94</c:v>
                  </c:pt>
                  <c:pt idx="11">
                    <c:v>0.95</c:v>
                  </c:pt>
                  <c:pt idx="12">
                    <c:v>0.96</c:v>
                  </c:pt>
                  <c:pt idx="13">
                    <c:v>0.98</c:v>
                  </c:pt>
                  <c:pt idx="14">
                    <c:v>0.99</c:v>
                  </c:pt>
                  <c:pt idx="15">
                    <c:v>91</c:v>
                  </c:pt>
                  <c:pt idx="16">
                    <c:v>0.81</c:v>
                  </c:pt>
                  <c:pt idx="17">
                    <c:v>0.84</c:v>
                  </c:pt>
                  <c:pt idx="18">
                    <c:v>0.85</c:v>
                  </c:pt>
                  <c:pt idx="19">
                    <c:v>0.87</c:v>
                  </c:pt>
                  <c:pt idx="20">
                    <c:v>0.88</c:v>
                  </c:pt>
                  <c:pt idx="21">
                    <c:v>0.89</c:v>
                  </c:pt>
                  <c:pt idx="22">
                    <c:v>0.91</c:v>
                  </c:pt>
                  <c:pt idx="23">
                    <c:v>0.93</c:v>
                  </c:pt>
                  <c:pt idx="24">
                    <c:v>0.94</c:v>
                  </c:pt>
                  <c:pt idx="25">
                    <c:v>0.95</c:v>
                  </c:pt>
                  <c:pt idx="26">
                    <c:v>0.96</c:v>
                  </c:pt>
                  <c:pt idx="27">
                    <c:v>0.97</c:v>
                  </c:pt>
                </c:lvl>
                <c:lvl>
                  <c:pt idx="0">
                    <c:v>female</c:v>
                  </c:pt>
                  <c:pt idx="16">
                    <c:v>Male</c:v>
                  </c:pt>
                </c:lvl>
              </c:multiLvlStrCache>
            </c:multiLvlStrRef>
          </c:cat>
          <c:val>
            <c:numRef>
              <c:f>'Atten. &amp; Proj. Count'!$D$5:$D$35</c:f>
              <c:numCache>
                <c:formatCode>General</c:formatCode>
                <c:ptCount val="28"/>
                <c:pt idx="0">
                  <c:v>1</c:v>
                </c:pt>
                <c:pt idx="1">
                  <c:v>1</c:v>
                </c:pt>
                <c:pt idx="2">
                  <c:v>1</c:v>
                </c:pt>
                <c:pt idx="3">
                  <c:v>1</c:v>
                </c:pt>
                <c:pt idx="4">
                  <c:v>1</c:v>
                </c:pt>
                <c:pt idx="5">
                  <c:v>1</c:v>
                </c:pt>
                <c:pt idx="6">
                  <c:v>2</c:v>
                </c:pt>
                <c:pt idx="7">
                  <c:v>1</c:v>
                </c:pt>
                <c:pt idx="8">
                  <c:v>3</c:v>
                </c:pt>
                <c:pt idx="9">
                  <c:v>3</c:v>
                </c:pt>
                <c:pt idx="10">
                  <c:v>1</c:v>
                </c:pt>
                <c:pt idx="11">
                  <c:v>2</c:v>
                </c:pt>
                <c:pt idx="12">
                  <c:v>1</c:v>
                </c:pt>
                <c:pt idx="13">
                  <c:v>2</c:v>
                </c:pt>
                <c:pt idx="14">
                  <c:v>1</c:v>
                </c:pt>
                <c:pt idx="15">
                  <c:v>1</c:v>
                </c:pt>
                <c:pt idx="16">
                  <c:v>1</c:v>
                </c:pt>
                <c:pt idx="17">
                  <c:v>1</c:v>
                </c:pt>
                <c:pt idx="18">
                  <c:v>3</c:v>
                </c:pt>
                <c:pt idx="19">
                  <c:v>2</c:v>
                </c:pt>
                <c:pt idx="20">
                  <c:v>3</c:v>
                </c:pt>
                <c:pt idx="21">
                  <c:v>2</c:v>
                </c:pt>
                <c:pt idx="22">
                  <c:v>2</c:v>
                </c:pt>
                <c:pt idx="23">
                  <c:v>1</c:v>
                </c:pt>
                <c:pt idx="24">
                  <c:v>3</c:v>
                </c:pt>
                <c:pt idx="25">
                  <c:v>2</c:v>
                </c:pt>
                <c:pt idx="26">
                  <c:v>2</c:v>
                </c:pt>
                <c:pt idx="27">
                  <c:v>3</c:v>
                </c:pt>
              </c:numCache>
            </c:numRef>
          </c:val>
          <c:extLst>
            <c:ext xmlns:c16="http://schemas.microsoft.com/office/drawing/2014/chart" uri="{C3380CC4-5D6E-409C-BE32-E72D297353CC}">
              <c16:uniqueId val="{00000000-A729-4387-B026-CC939184BDE1}"/>
            </c:ext>
          </c:extLst>
        </c:ser>
        <c:dLbls>
          <c:showLegendKey val="0"/>
          <c:showVal val="0"/>
          <c:showCatName val="0"/>
          <c:showSerName val="0"/>
          <c:showPercent val="0"/>
          <c:showBubbleSize val="0"/>
        </c:dLbls>
        <c:gapWidth val="150"/>
        <c:gapDepth val="0"/>
        <c:shape val="box"/>
        <c:axId val="1987622864"/>
        <c:axId val="1987623344"/>
        <c:axId val="1696424688"/>
      </c:bar3DChart>
      <c:catAx>
        <c:axId val="198762286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87623344"/>
        <c:crosses val="autoZero"/>
        <c:auto val="1"/>
        <c:lblAlgn val="ctr"/>
        <c:lblOffset val="100"/>
        <c:noMultiLvlLbl val="0"/>
      </c:catAx>
      <c:valAx>
        <c:axId val="1987623344"/>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622864"/>
        <c:crosses val="autoZero"/>
        <c:crossBetween val="between"/>
      </c:valAx>
      <c:serAx>
        <c:axId val="1696424688"/>
        <c:scaling>
          <c:orientation val="minMax"/>
        </c:scaling>
        <c:delete val="0"/>
        <c:axPos val="b"/>
        <c:majorTickMark val="out"/>
        <c:minorTickMark val="none"/>
        <c:tickLblPos val="nextTo"/>
        <c:spPr>
          <a:noFill/>
          <a:ln w="9525"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87623344"/>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[Updaed.xlsx]AVG&amp;Bonus!PivotTable1</c:name>
    <c:fmtId val="8"/>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a:t>Dep.</a:t>
            </a:r>
            <a:r>
              <a:rPr lang="en-IN" baseline="0"/>
              <a:t> WISE AVG. SALARY &amp; BONUS</a:t>
            </a:r>
            <a:endParaRPr lang="en-IN"/>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IN"/>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pPr>
            <a:solidFill>
              <a:schemeClr val="accent1"/>
            </a:solidFill>
            <a:ln w="9525">
              <a:solidFill>
                <a:schemeClr val="dk1">
                  <a:lumMod val="75000"/>
                  <a:lumOff val="25000"/>
                </a:schemeClr>
              </a:solid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'AVG&amp;Bonus'!$D$8</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'AVG&amp;Bonus'!$C$9:$C$14</c:f>
              <c:strCache>
                <c:ptCount val="5"/>
                <c:pt idx="0">
                  <c:v>Finance</c:v>
                </c:pt>
                <c:pt idx="1">
                  <c:v>Hr</c:v>
                </c:pt>
                <c:pt idx="2">
                  <c:v>It</c:v>
                </c:pt>
                <c:pt idx="3">
                  <c:v>Marketing</c:v>
                </c:pt>
                <c:pt idx="4">
                  <c:v>Operations</c:v>
                </c:pt>
              </c:strCache>
            </c:strRef>
          </c:cat>
          <c:val>
            <c:numRef>
              <c:f>'AVG&amp;Bonus'!$D$9:$D$14</c:f>
              <c:numCache>
                <c:formatCode>General</c:formatCode>
                <c:ptCount val="5"/>
                <c:pt idx="0">
                  <c:v>0.80999999999999994</c:v>
                </c:pt>
                <c:pt idx="1">
                  <c:v>10.76</c:v>
                </c:pt>
                <c:pt idx="2">
                  <c:v>1.1400000000000001</c:v>
                </c:pt>
                <c:pt idx="3">
                  <c:v>0.73</c:v>
                </c:pt>
                <c:pt idx="4">
                  <c:v>0.76</c:v>
                </c:pt>
              </c:numCache>
            </c:numRef>
          </c:val>
          <c:extLst>
            <c:ext xmlns:c16="http://schemas.microsoft.com/office/drawing/2014/chart" uri="{C3380CC4-5D6E-409C-BE32-E72D297353CC}">
              <c16:uniqueId val="{00000000-C4BD-4166-86C9-681663744854}"/>
            </c:ext>
          </c:extLst>
        </c:ser>
        <c:dLbls>
          <c:showLegendKey val="0"/>
          <c:showVal val="1"/>
          <c:showCatName val="0"/>
          <c:showSerName val="0"/>
          <c:showPercent val="0"/>
          <c:showBubbleSize val="0"/>
        </c:dLbls>
        <c:gapWidth val="84"/>
        <c:gapDepth val="53"/>
        <c:shape val="box"/>
        <c:axId val="1900286160"/>
        <c:axId val="1900276080"/>
        <c:axId val="0"/>
      </c:bar3DChart>
      <c:catAx>
        <c:axId val="19002861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00276080"/>
        <c:crosses val="autoZero"/>
        <c:auto val="1"/>
        <c:lblAlgn val="ctr"/>
        <c:lblOffset val="100"/>
        <c:noMultiLvlLbl val="0"/>
      </c:catAx>
      <c:valAx>
        <c:axId val="1900276080"/>
        <c:scaling>
          <c:orientation val="minMax"/>
        </c:scaling>
        <c:delete val="1"/>
        <c:axPos val="l"/>
        <c:numFmt formatCode="General" sourceLinked="1"/>
        <c:majorTickMark val="out"/>
        <c:minorTickMark val="none"/>
        <c:tickLblPos val="nextTo"/>
        <c:crossAx val="1900286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[Updaed.xlsx]EMP.Type-Wise EMP. Count!PivotTable2</c:name>
    <c:fmtId val="7"/>
  </c:pivotSource>
  <c:chart>
    <c:title>
      <c:tx>
        <c:rich>
          <a:bodyPr rot="0" spcFirstLastPara="1" vertOverflow="ellipsis" vert="horz" wrap="square" anchor="ctr" anchorCtr="1"/>
          <a:lstStyle/>
          <a:p>
            <a:pPr>
              <a:defRPr sz="1800" b="1" i="0" u="none" strike="noStrike" kern="1200" cap="all" spc="150" baseline="0">
                <a:solidFill>
                  <a:schemeClr val="bg1">
                    <a:lumMod val="85000"/>
                  </a:schemeClr>
                </a:solidFill>
                <a:latin typeface="+mn-lt"/>
                <a:ea typeface="+mn-ea"/>
                <a:cs typeface="+mn-cs"/>
              </a:defRPr>
            </a:pPr>
            <a:r>
              <a:rPr lang="en-IN">
                <a:solidFill>
                  <a:schemeClr val="bg1">
                    <a:lumMod val="85000"/>
                  </a:schemeClr>
                </a:solidFill>
              </a:rPr>
              <a:t>EMP.Type-Wise EMP. Count</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bg1">
                  <a:lumMod val="85000"/>
                </a:schemeClr>
              </a:solidFill>
              <a:latin typeface="+mn-lt"/>
              <a:ea typeface="+mn-ea"/>
              <a:cs typeface="+mn-cs"/>
            </a:defRPr>
          </a:pPr>
          <a:endParaRPr lang="en-US"/>
        </a:p>
      </c:txPr>
    </c:title>
    <c:autoTitleDeleted val="0"/>
    <c:pivotFmts>
      <c:pivotFmt>
        <c:idx val="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19050" cap="flat" cmpd="sng" algn="ctr">
          <a:solidFill>
            <a:schemeClr val="tx1">
              <a:lumMod val="25000"/>
              <a:lumOff val="75000"/>
            </a:schemeClr>
          </a:solidFill>
          <a:round/>
        </a:ln>
        <a:effectLst/>
        <a:sp3d contourW="19050">
          <a:contourClr>
            <a:schemeClr val="tx1">
              <a:lumMod val="25000"/>
              <a:lumOff val="75000"/>
            </a:schemeClr>
          </a:contourClr>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'EMP.Type-Wise EMP. Count'!$D$4</c:f>
              <c:strCache>
                <c:ptCount val="1"/>
                <c:pt idx="0">
                  <c:v>Total</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cat>
            <c:strRef>
              <c:f>'EMP.Type-Wise EMP. Count'!$C$5:$C$9</c:f>
              <c:strCache>
                <c:ptCount val="4"/>
                <c:pt idx="0">
                  <c:v>Contract</c:v>
                </c:pt>
                <c:pt idx="1">
                  <c:v>Full Time</c:v>
                </c:pt>
                <c:pt idx="2">
                  <c:v>fulltime</c:v>
                </c:pt>
                <c:pt idx="3">
                  <c:v>Full-Time</c:v>
                </c:pt>
              </c:strCache>
            </c:strRef>
          </c:cat>
          <c:val>
            <c:numRef>
              <c:f>'EMP.Type-Wise EMP. Count'!$D$5:$D$9</c:f>
              <c:numCache>
                <c:formatCode>General</c:formatCode>
                <c:ptCount val="4"/>
                <c:pt idx="0">
                  <c:v>9</c:v>
                </c:pt>
                <c:pt idx="1">
                  <c:v>37</c:v>
                </c:pt>
                <c:pt idx="2">
                  <c:v>1</c:v>
                </c:pt>
                <c:pt idx="3">
                  <c:v>1</c:v>
                </c:pt>
              </c:numCache>
            </c:numRef>
          </c:val>
          <c:extLst>
            <c:ext xmlns:c16="http://schemas.microsoft.com/office/drawing/2014/chart" uri="{C3380CC4-5D6E-409C-BE32-E72D297353CC}">
              <c16:uniqueId val="{00000000-E29E-40A3-A4DB-5E1657A76D82}"/>
            </c:ext>
          </c:extLst>
        </c:ser>
        <c:dLbls>
          <c:showLegendKey val="0"/>
          <c:showVal val="0"/>
          <c:showCatName val="0"/>
          <c:showSerName val="0"/>
          <c:showPercent val="0"/>
          <c:showBubbleSize val="0"/>
        </c:dLbls>
        <c:gapWidth val="150"/>
        <c:shape val="box"/>
        <c:axId val="8557632"/>
        <c:axId val="8577312"/>
        <c:axId val="0"/>
      </c:bar3DChart>
      <c:catAx>
        <c:axId val="8557632"/>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8577312"/>
        <c:crosses val="autoZero"/>
        <c:auto val="1"/>
        <c:lblAlgn val="ctr"/>
        <c:lblOffset val="100"/>
        <c:noMultiLvlLbl val="0"/>
      </c:catAx>
      <c:valAx>
        <c:axId val="8577312"/>
        <c:scaling>
          <c:orientation val="minMax"/>
        </c:scaling>
        <c:delete val="0"/>
        <c:axPos val="b"/>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557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[Updaed.xlsx]State &amp; Perfo. Rating!PivotTable3</c:name>
    <c:fmtId val="5"/>
  </c:pivotSource>
  <c:chart>
    <c:title>
      <c:tx>
        <c:rich>
          <a:bodyPr rot="0" spcFirstLastPara="1" vertOverflow="ellipsis" vert="horz" wrap="square" anchor="ctr" anchorCtr="1"/>
          <a:lstStyle/>
          <a:p>
            <a:pPr>
              <a:defRPr sz="1800" b="1" i="0" u="none" strike="noStrike" kern="1200" cap="all" baseline="0">
                <a:solidFill>
                  <a:schemeClr val="bg1"/>
                </a:solidFill>
                <a:latin typeface="+mn-lt"/>
                <a:ea typeface="+mn-ea"/>
                <a:cs typeface="+mn-cs"/>
              </a:defRPr>
            </a:pPr>
            <a:r>
              <a:rPr lang="en-US">
                <a:solidFill>
                  <a:schemeClr val="bg1"/>
                </a:solidFill>
              </a:rPr>
              <a:t>State</a:t>
            </a:r>
            <a:r>
              <a:rPr lang="en-US" baseline="0">
                <a:solidFill>
                  <a:schemeClr val="bg1"/>
                </a:solidFill>
              </a:rPr>
              <a:t> wise performance rating</a:t>
            </a:r>
            <a:endParaRPr lang="en-US">
              <a:solidFill>
                <a:schemeClr val="bg1"/>
              </a:solidFill>
            </a:endParaRPr>
          </a:p>
        </c:rich>
      </c:tx>
      <c:layout>
        <c:manualLayout>
          <c:xMode val="edge"/>
          <c:yMode val="edge"/>
          <c:x val="8.0399833719102878E-2"/>
          <c:y val="5.2863428788590822E-3"/>
        </c:manualLayout>
      </c:layout>
      <c:overlay val="0"/>
      <c:spPr>
        <a:noFill/>
        <a:ln>
          <a:noFill/>
        </a:ln>
        <a:effectLst/>
      </c:spPr>
      <c:txPr>
        <a:bodyPr rot="0" spcFirstLastPara="1" vertOverflow="ellipsis" vert="horz" wrap="square" anchor="ctr" anchorCtr="1"/>
        <a:lstStyle/>
        <a:p>
          <a:pPr>
            <a:defRPr sz="1800" b="1" i="0" u="none" strike="noStrike" kern="1200" cap="all" baseline="0">
              <a:solidFill>
                <a:schemeClr val="bg1"/>
              </a:solidFill>
              <a:latin typeface="+mn-lt"/>
              <a:ea typeface="+mn-ea"/>
              <a:cs typeface="+mn-cs"/>
            </a:defRPr>
          </a:pPr>
          <a:endParaRPr lang="en-US"/>
        </a:p>
      </c:txPr>
    </c:title>
    <c:autoTitleDeleted val="0"/>
    <c:pivotFmts>
      <c:pivotFmt>
        <c:idx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circle"/>
          <c:size val="6"/>
        </c:marke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xForSave val="1"/>
            </c:ext>
          </c:extLst>
        </c:dLbl>
      </c:pivotFmt>
      <c:pivotFmt>
        <c:idx val="2"/>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xForSave val="1"/>
            </c:ext>
          </c:extLst>
        </c:dLbl>
      </c:pivotFmt>
      <c:pivotFmt>
        <c:idx val="3"/>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xForSave val="1"/>
            </c:ext>
          </c:extLst>
        </c:dLbl>
      </c:pivotFmt>
      <c:pivotFmt>
        <c:idx val="4"/>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xForSave val="1"/>
            </c:ext>
          </c:extLst>
        </c:dLbl>
      </c:pivotFmt>
      <c:pivotFmt>
        <c:idx val="5"/>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xForSave val="1"/>
            </c:ext>
          </c:extLst>
        </c:dLbl>
      </c:pivotFmt>
      <c:pivotFmt>
        <c:idx val="6"/>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xForSave val="1"/>
            </c:ext>
          </c:extLst>
        </c:dLbl>
      </c:pivotFmt>
      <c:pivotFmt>
        <c:idx val="7"/>
        <c:spPr>
          <a:solidFill>
            <a:schemeClr val="accent1">
              <a:lumMod val="60000"/>
              <a:alpha val="90000"/>
            </a:schemeClr>
          </a:solidFill>
          <a:ln w="19050">
            <a:solidFill>
              <a:schemeClr val="accent1">
                <a:lumMod val="60000"/>
                <a:lumMod val="75000"/>
              </a:schemeClr>
            </a:solidFill>
          </a:ln>
          <a:effectLst>
            <a:innerShdw blurRad="114300">
              <a:schemeClr val="accent1">
                <a:lumMod val="60000"/>
                <a:lumMod val="75000"/>
              </a:schemeClr>
            </a:innerShdw>
          </a:effectLst>
          <a:scene3d>
            <a:camera prst="orthographicFront"/>
            <a:lightRig rig="threePt" dir="t"/>
          </a:scene3d>
          <a:sp3d contourW="19050" prstMaterial="flat">
            <a:contourClr>
              <a:schemeClr val="accent1">
                <a:lumMod val="60000"/>
                <a:lumMod val="75000"/>
              </a:schemeClr>
            </a:contourClr>
          </a:sp3d>
        </c:spP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xForSave val="1"/>
            </c:ext>
          </c:extLst>
        </c:dLbl>
      </c:pivotFmt>
      <c:pivotFmt>
        <c:idx val="8"/>
        <c:spPr>
          <a:solidFill>
            <a:schemeClr val="accent2">
              <a:lumMod val="60000"/>
              <a:alpha val="90000"/>
            </a:schemeClr>
          </a:solidFill>
          <a:ln w="19050">
            <a:solidFill>
              <a:schemeClr val="accent2">
                <a:lumMod val="60000"/>
                <a:lumMod val="75000"/>
              </a:schemeClr>
            </a:solidFill>
          </a:ln>
          <a:effectLst>
            <a:innerShdw blurRad="114300">
              <a:schemeClr val="accent2">
                <a:lumMod val="60000"/>
                <a:lumMod val="75000"/>
              </a:schemeClr>
            </a:innerShdw>
          </a:effectLst>
          <a:scene3d>
            <a:camera prst="orthographicFront"/>
            <a:lightRig rig="threePt" dir="t"/>
          </a:scene3d>
          <a:sp3d contourW="19050" prstMaterial="flat">
            <a:contourClr>
              <a:schemeClr val="accent2">
                <a:lumMod val="60000"/>
                <a:lumMod val="75000"/>
              </a:schemeClr>
            </a:contourClr>
          </a:sp3d>
        </c:spP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xForSave val="1"/>
            </c:ext>
          </c:extLst>
        </c:dLbl>
      </c:pivotFmt>
      <c:pivotFmt>
        <c:idx val="9"/>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marker>
          <c:symbol val="none"/>
        </c:marke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6111111111111108E-2"/>
          <c:y val="0.20309966462525517"/>
          <c:w val="0.80212029746281721"/>
          <c:h val="0.75060403907844853"/>
        </c:manualLayout>
      </c:layout>
      <c:pie3DChart>
        <c:varyColors val="1"/>
        <c:ser>
          <c:idx val="0"/>
          <c:order val="0"/>
          <c:tx>
            <c:strRef>
              <c:f>'State &amp; Perfo. Rating'!$D$4</c:f>
              <c:strCache>
                <c:ptCount val="1"/>
                <c:pt idx="0">
                  <c:v>Total</c:v>
                </c:pt>
              </c:strCache>
            </c:strRef>
          </c:tx>
          <c:dPt>
            <c:idx val="0"/>
            <c:bubble3D val="0"/>
            <c:spPr>
              <a:solidFill>
                <a:schemeClr val="accent1">
                  <a:alpha val="90000"/>
                </a:schemeClr>
              </a:solidFill>
              <a:ln w="19050">
                <a:solidFill>
                  <a:schemeClr val="accent1">
                    <a:lumMod val="75000"/>
                  </a:schemeClr>
                </a:solidFill>
              </a:ln>
              <a:effectLst>
                <a:innerShdw blurRad="114300">
                  <a:schemeClr val="accent1">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1-3981-4EE9-AB61-B165792A85E1}"/>
              </c:ext>
            </c:extLst>
          </c:dPt>
          <c:dPt>
            <c:idx val="1"/>
            <c:bubble3D val="0"/>
            <c:spPr>
              <a:solidFill>
                <a:schemeClr val="accent2">
                  <a:alpha val="90000"/>
                </a:schemeClr>
              </a:solidFill>
              <a:ln w="19050">
                <a:solidFill>
                  <a:schemeClr val="accent2">
                    <a:lumMod val="75000"/>
                  </a:schemeClr>
                </a:solidFill>
              </a:ln>
              <a:effectLst>
                <a:innerShdw blurRad="114300">
                  <a:schemeClr val="accent2">
                    <a:lumMod val="75000"/>
                  </a:schemeClr>
                </a:innerShdw>
              </a:effectLst>
              <a:scene3d>
                <a:camera prst="orthographicFront"/>
                <a:lightRig rig="threePt" dir="t"/>
              </a:scene3d>
              <a:sp3d contourW="19050" prstMaterial="flat">
                <a:contourClr>
                  <a:schemeClr val="accent2">
                    <a:lumMod val="75000"/>
                  </a:schemeClr>
                </a:contourClr>
              </a:sp3d>
            </c:spPr>
            <c:extLst>
              <c:ext xmlns:c16="http://schemas.microsoft.com/office/drawing/2014/chart" uri="{C3380CC4-5D6E-409C-BE32-E72D297353CC}">
                <c16:uniqueId val="{00000003-3981-4EE9-AB61-B165792A85E1}"/>
              </c:ext>
            </c:extLst>
          </c:dPt>
          <c:dPt>
            <c:idx val="2"/>
            <c:bubble3D val="0"/>
            <c:spPr>
              <a:solidFill>
                <a:schemeClr val="accent3">
                  <a:alpha val="90000"/>
                </a:schemeClr>
              </a:solidFill>
              <a:ln w="19050">
                <a:solidFill>
                  <a:schemeClr val="accent3">
                    <a:lumMod val="75000"/>
                  </a:schemeClr>
                </a:solidFill>
              </a:ln>
              <a:effectLst>
                <a:innerShdw blurRad="114300">
                  <a:schemeClr val="accent3">
                    <a:lumMod val="75000"/>
                  </a:schemeClr>
                </a:innerShdw>
              </a:effectLst>
              <a:scene3d>
                <a:camera prst="orthographicFront"/>
                <a:lightRig rig="threePt" dir="t"/>
              </a:scene3d>
              <a:sp3d contourW="19050" prstMaterial="flat">
                <a:contourClr>
                  <a:schemeClr val="accent3">
                    <a:lumMod val="75000"/>
                  </a:schemeClr>
                </a:contourClr>
              </a:sp3d>
            </c:spPr>
            <c:extLst>
              <c:ext xmlns:c16="http://schemas.microsoft.com/office/drawing/2014/chart" uri="{C3380CC4-5D6E-409C-BE32-E72D297353CC}">
                <c16:uniqueId val="{00000005-3981-4EE9-AB61-B165792A85E1}"/>
              </c:ext>
            </c:extLst>
          </c:dPt>
          <c:dPt>
            <c:idx val="3"/>
            <c:bubble3D val="0"/>
            <c:spPr>
              <a:solidFill>
                <a:schemeClr val="accent4">
                  <a:alpha val="90000"/>
                </a:schemeClr>
              </a:solidFill>
              <a:ln w="19050">
                <a:solidFill>
                  <a:schemeClr val="accent4">
                    <a:lumMod val="75000"/>
                  </a:schemeClr>
                </a:solidFill>
              </a:ln>
              <a:effectLst>
                <a:innerShdw blurRad="114300">
                  <a:schemeClr val="accent4">
                    <a:lumMod val="75000"/>
                  </a:schemeClr>
                </a:innerShdw>
              </a:effectLst>
              <a:scene3d>
                <a:camera prst="orthographicFront"/>
                <a:lightRig rig="threePt" dir="t"/>
              </a:scene3d>
              <a:sp3d contourW="19050" prstMaterial="flat">
                <a:contourClr>
                  <a:schemeClr val="accent4">
                    <a:lumMod val="75000"/>
                  </a:schemeClr>
                </a:contourClr>
              </a:sp3d>
            </c:spPr>
            <c:extLst>
              <c:ext xmlns:c16="http://schemas.microsoft.com/office/drawing/2014/chart" uri="{C3380CC4-5D6E-409C-BE32-E72D297353CC}">
                <c16:uniqueId val="{00000007-3981-4EE9-AB61-B165792A85E1}"/>
              </c:ext>
            </c:extLst>
          </c:dPt>
          <c:dPt>
            <c:idx val="4"/>
            <c:bubble3D val="0"/>
            <c:spPr>
              <a:solidFill>
                <a:schemeClr val="accent5">
                  <a:alpha val="90000"/>
                </a:schemeClr>
              </a:solidFill>
              <a:ln w="19050">
                <a:solidFill>
                  <a:schemeClr val="accent5">
                    <a:lumMod val="75000"/>
                  </a:schemeClr>
                </a:solidFill>
              </a:ln>
              <a:effectLst>
                <a:innerShdw blurRad="114300">
                  <a:schemeClr val="accent5">
                    <a:lumMod val="75000"/>
                  </a:schemeClr>
                </a:innerShdw>
              </a:effectLst>
              <a:scene3d>
                <a:camera prst="orthographicFront"/>
                <a:lightRig rig="threePt" dir="t"/>
              </a:scene3d>
              <a:sp3d contourW="19050" prstMaterial="flat">
                <a:contourClr>
                  <a:schemeClr val="accent5">
                    <a:lumMod val="75000"/>
                  </a:schemeClr>
                </a:contourClr>
              </a:sp3d>
            </c:spPr>
            <c:extLst>
              <c:ext xmlns:c16="http://schemas.microsoft.com/office/drawing/2014/chart" uri="{C3380CC4-5D6E-409C-BE32-E72D297353CC}">
                <c16:uniqueId val="{00000009-3981-4EE9-AB61-B165792A85E1}"/>
              </c:ext>
            </c:extLst>
          </c:dPt>
          <c:dPt>
            <c:idx val="5"/>
            <c:bubble3D val="0"/>
            <c:spPr>
              <a:solidFill>
                <a:schemeClr val="accent6">
                  <a:alpha val="90000"/>
                </a:schemeClr>
              </a:solidFill>
              <a:ln w="19050">
                <a:solidFill>
                  <a:schemeClr val="accent6">
                    <a:lumMod val="75000"/>
                  </a:schemeClr>
                </a:solidFill>
              </a:ln>
              <a:effectLst>
                <a:innerShdw blurRad="114300">
                  <a:schemeClr val="accent6">
                    <a:lumMod val="75000"/>
                  </a:schemeClr>
                </a:innerShdw>
              </a:effectLst>
              <a:scene3d>
                <a:camera prst="orthographicFront"/>
                <a:lightRig rig="threePt" dir="t"/>
              </a:scene3d>
              <a:sp3d contourW="19050" prstMaterial="flat">
                <a:contourClr>
                  <a:schemeClr val="accent6">
                    <a:lumMod val="75000"/>
                  </a:schemeClr>
                </a:contourClr>
              </a:sp3d>
            </c:spPr>
            <c:extLst>
              <c:ext xmlns:c16="http://schemas.microsoft.com/office/drawing/2014/chart" uri="{C3380CC4-5D6E-409C-BE32-E72D297353CC}">
                <c16:uniqueId val="{0000000B-3981-4EE9-AB61-B165792A85E1}"/>
              </c:ext>
            </c:extLst>
          </c:dPt>
          <c:dPt>
            <c:idx val="6"/>
            <c:bubble3D val="0"/>
            <c:spPr>
              <a:solidFill>
                <a:schemeClr val="accent1">
                  <a:lumMod val="60000"/>
                  <a:alpha val="90000"/>
                </a:schemeClr>
              </a:solidFill>
              <a:ln w="19050">
                <a:solidFill>
                  <a:schemeClr val="accent1">
                    <a:lumMod val="60000"/>
                    <a:lumMod val="75000"/>
                  </a:schemeClr>
                </a:solidFill>
              </a:ln>
              <a:effectLst>
                <a:innerShdw blurRad="114300">
                  <a:schemeClr val="accent1">
                    <a:lumMod val="60000"/>
                    <a:lumMod val="75000"/>
                  </a:schemeClr>
                </a:innerShdw>
              </a:effectLst>
              <a:scene3d>
                <a:camera prst="orthographicFront"/>
                <a:lightRig rig="threePt" dir="t"/>
              </a:scene3d>
              <a:sp3d contourW="19050" prstMaterial="flat">
                <a:contourClr>
                  <a:schemeClr val="accent1">
                    <a:lumMod val="60000"/>
                    <a:lumMod val="75000"/>
                  </a:schemeClr>
                </a:contourClr>
              </a:sp3d>
            </c:spPr>
            <c:extLst>
              <c:ext xmlns:c16="http://schemas.microsoft.com/office/drawing/2014/chart" uri="{C3380CC4-5D6E-409C-BE32-E72D297353CC}">
                <c16:uniqueId val="{0000000D-3981-4EE9-AB61-B165792A85E1}"/>
              </c:ext>
            </c:extLst>
          </c:dPt>
          <c:dPt>
            <c:idx val="7"/>
            <c:bubble3D val="0"/>
            <c:spPr>
              <a:solidFill>
                <a:schemeClr val="accent2">
                  <a:lumMod val="60000"/>
                  <a:alpha val="90000"/>
                </a:schemeClr>
              </a:solidFill>
              <a:ln w="19050">
                <a:solidFill>
                  <a:schemeClr val="accent2">
                    <a:lumMod val="60000"/>
                    <a:lumMod val="75000"/>
                  </a:schemeClr>
                </a:solidFill>
              </a:ln>
              <a:effectLst>
                <a:innerShdw blurRad="114300">
                  <a:schemeClr val="accent2">
                    <a:lumMod val="60000"/>
                    <a:lumMod val="75000"/>
                  </a:schemeClr>
                </a:innerShdw>
              </a:effectLst>
              <a:scene3d>
                <a:camera prst="orthographicFront"/>
                <a:lightRig rig="threePt" dir="t"/>
              </a:scene3d>
              <a:sp3d contourW="19050" prstMaterial="flat">
                <a:contourClr>
                  <a:schemeClr val="accent2">
                    <a:lumMod val="60000"/>
                    <a:lumMod val="75000"/>
                  </a:schemeClr>
                </a:contourClr>
              </a:sp3d>
            </c:spPr>
            <c:extLst>
              <c:ext xmlns:c16="http://schemas.microsoft.com/office/drawing/2014/chart" uri="{C3380CC4-5D6E-409C-BE32-E72D297353CC}">
                <c16:uniqueId val="{0000000F-3981-4EE9-AB61-B165792A85E1}"/>
              </c:ext>
            </c:extLst>
          </c:dPt>
          <c:dLbls>
            <c:dLbl>
              <c:idx val="0"/>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01-3981-4EE9-AB61-B165792A85E1}"/>
                </c:ext>
              </c:extLst>
            </c:dLbl>
            <c:dLbl>
              <c:idx val="1"/>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solidFill>
                      <a:effectLst/>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03-3981-4EE9-AB61-B165792A85E1}"/>
                </c:ext>
              </c:extLst>
            </c:dLbl>
            <c:dLbl>
              <c:idx val="2"/>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3"/>
                      </a:solidFill>
                      <a:effectLst/>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05-3981-4EE9-AB61-B165792A85E1}"/>
                </c:ext>
              </c:extLst>
            </c:dLbl>
            <c:dLbl>
              <c:idx val="3"/>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4"/>
                      </a:solidFill>
                      <a:effectLst/>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07-3981-4EE9-AB61-B165792A85E1}"/>
                </c:ext>
              </c:extLst>
            </c:dLbl>
            <c:dLbl>
              <c:idx val="4"/>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5"/>
                      </a:solidFill>
                      <a:effectLst/>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09-3981-4EE9-AB61-B165792A85E1}"/>
                </c:ext>
              </c:extLst>
            </c:dLbl>
            <c:dLbl>
              <c:idx val="5"/>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6"/>
                      </a:solidFill>
                      <a:effectLst/>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0B-3981-4EE9-AB61-B165792A85E1}"/>
                </c:ext>
              </c:extLst>
            </c:dLbl>
            <c:dLbl>
              <c:idx val="6"/>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lumMod val="60000"/>
                        </a:schemeClr>
                      </a:solidFill>
                      <a:effectLst/>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0D-3981-4EE9-AB61-B165792A85E1}"/>
                </c:ext>
              </c:extLst>
            </c:dLbl>
            <c:dLbl>
              <c:idx val="7"/>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2">
                          <a:lumMod val="60000"/>
                        </a:schemeClr>
                      </a:solidFill>
                      <a:effectLst/>
                      <a:latin typeface="+mn-lt"/>
                      <a:ea typeface="+mn-ea"/>
                      <a:cs typeface="+mn-cs"/>
                    </a:defRPr>
                  </a:pPr>
                  <a:endParaRPr lang="en-US"/>
                </a:p>
              </c:txPr>
              <c:dLblPos val="bestFit"/>
              <c:showLegendKey val="0"/>
              <c:showVal val="1"/>
              <c:showCatName val="0"/>
              <c:showSerName val="0"/>
              <c:showPercent val="0"/>
              <c:showBubbleSize val="0"/>
              <c:extLst>
                <c:ext xmlns:c16="http://schemas.microsoft.com/office/drawing/2014/chart" uri="{C3380CC4-5D6E-409C-BE32-E72D297353CC}">
                  <c16:uniqueId val="{0000000F-3981-4EE9-AB61-B165792A85E1}"/>
                </c:ext>
              </c:extLst>
            </c:dLbl>
            <c:spPr>
              <a:solidFill>
                <a:sysClr val="window" lastClr="FFFFFF">
                  <a:alpha val="90000"/>
                </a:sysClr>
              </a:solidFill>
              <a:ln w="12700" cap="flat" cmpd="sng" algn="ctr">
                <a:solidFill>
                  <a:srgbClr val="4F81BD"/>
                </a:solidFill>
                <a:round/>
              </a:ln>
              <a:effectLst>
                <a:outerShdw blurRad="50800" dist="38100" dir="2700000" algn="tl" rotWithShape="0">
                  <a:srgbClr val="4F81BD">
                    <a:lumMod val="75000"/>
                    <a:alpha val="40000"/>
                  </a:srgbClr>
                </a:outerShdw>
              </a:effectLst>
            </c:spPr>
            <c:txPr>
              <a:bodyPr rot="0" spcFirstLastPara="1" vertOverflow="clip" horzOverflow="clip" vert="horz" wrap="square" lIns="38100" tIns="19050" rIns="38100" bIns="19050" anchor="ctr" anchorCtr="1">
                <a:spAutoFit/>
              </a:bodyPr>
              <a:lstStyle/>
              <a:p>
                <a:pPr>
                  <a:defRPr sz="1000" b="0" i="0" u="none" strike="noStrike" kern="1200" baseline="0">
                    <a:solidFill>
                      <a:schemeClr val="accent1"/>
                    </a:solidFill>
                    <a:effectLst/>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'State &amp; Perfo. Rating'!$C$5:$C$13</c:f>
              <c:strCache>
                <c:ptCount val="8"/>
                <c:pt idx="0">
                  <c:v>Delhi</c:v>
                </c:pt>
                <c:pt idx="1">
                  <c:v>Karnataka</c:v>
                </c:pt>
                <c:pt idx="2">
                  <c:v>Maharashtra</c:v>
                </c:pt>
                <c:pt idx="3">
                  <c:v>Rajasthan</c:v>
                </c:pt>
                <c:pt idx="4">
                  <c:v>Tamil Nadu</c:v>
                </c:pt>
                <c:pt idx="5">
                  <c:v>Telangana</c:v>
                </c:pt>
                <c:pt idx="6">
                  <c:v>Uttar Pradesh</c:v>
                </c:pt>
                <c:pt idx="7">
                  <c:v>West Bengal</c:v>
                </c:pt>
              </c:strCache>
            </c:strRef>
          </c:cat>
          <c:val>
            <c:numRef>
              <c:f>'State &amp; Perfo. Rating'!$D$5:$D$13</c:f>
              <c:numCache>
                <c:formatCode>General</c:formatCode>
                <c:ptCount val="8"/>
                <c:pt idx="0">
                  <c:v>4.7</c:v>
                </c:pt>
                <c:pt idx="1">
                  <c:v>4.5</c:v>
                </c:pt>
                <c:pt idx="2">
                  <c:v>4.8</c:v>
                </c:pt>
                <c:pt idx="3">
                  <c:v>3.5</c:v>
                </c:pt>
                <c:pt idx="4">
                  <c:v>4.5</c:v>
                </c:pt>
                <c:pt idx="5">
                  <c:v>4.3</c:v>
                </c:pt>
                <c:pt idx="6">
                  <c:v>4.2</c:v>
                </c:pt>
                <c:pt idx="7">
                  <c:v>4.3</c:v>
                </c:pt>
              </c:numCache>
            </c:numRef>
          </c:val>
          <c:extLst>
            <c:ext xmlns:c16="http://schemas.microsoft.com/office/drawing/2014/chart" uri="{C3380CC4-5D6E-409C-BE32-E72D297353CC}">
              <c16:uniqueId val="{00000010-3981-4EE9-AB61-B165792A85E1}"/>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77731148864185706"/>
          <c:y val="0.14441156879327621"/>
          <c:w val="0.20905511811023619"/>
          <c:h val="0.49728382910469515"/>
        </c:manualLayout>
      </c:layout>
      <c:overlay val="0"/>
      <c:spPr>
        <a:solidFill>
          <a:schemeClr val="tx1">
            <a:lumMod val="85000"/>
            <a:lumOff val="15000"/>
          </a:schemeClr>
        </a:solid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[Updaed.xlsx]Atten. &amp; Proj. Count!PivotTable5</c:name>
    <c:fmtId val="5"/>
  </c:pivotSource>
  <c:chart>
    <c:title>
      <c:tx>
        <c:rich>
          <a:bodyPr rot="0" spcFirstLastPara="1" vertOverflow="ellipsis" vert="horz" wrap="square" anchor="ctr" anchorCtr="1"/>
          <a:lstStyle/>
          <a:p>
            <a:pPr>
              <a:defRPr sz="1800" b="1" i="0" u="none" strike="noStrike" kern="1200" cap="all" spc="50" baseline="0">
                <a:solidFill>
                  <a:schemeClr val="bg1"/>
                </a:solidFill>
                <a:latin typeface="+mn-lt"/>
                <a:ea typeface="+mn-ea"/>
                <a:cs typeface="+mn-cs"/>
              </a:defRPr>
            </a:pPr>
            <a:r>
              <a:rPr lang="en-IN" sz="1800" b="1" i="0" u="none" strike="noStrike" cap="all" baseline="0"/>
              <a:t>Gender-wise Attendance &amp; Project Count</a:t>
            </a:r>
            <a:endParaRPr lang="en-US">
              <a:solidFill>
                <a:schemeClr val="bg1"/>
              </a:solidFill>
            </a:endParaRPr>
          </a:p>
        </c:rich>
      </c:tx>
      <c:layout>
        <c:manualLayout>
          <c:xMode val="edge"/>
          <c:yMode val="edge"/>
          <c:x val="0.16869444444444445"/>
          <c:y val="3.6016331291921846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bg1"/>
              </a:solidFill>
              <a:latin typeface="+mn-lt"/>
              <a:ea typeface="+mn-ea"/>
              <a:cs typeface="+mn-cs"/>
            </a:defRPr>
          </a:pPr>
          <a:endParaRPr lang="en-US"/>
        </a:p>
      </c:txPr>
    </c:title>
    <c:autoTitleDeleted val="0"/>
    <c:pivotFmts>
      <c:pivotFmt>
        <c:idx val="0"/>
        <c:spPr>
          <a:gradFill flip="none" rotWithShape="1">
            <a:gsLst>
              <a:gs pos="100000">
                <a:schemeClr val="accent1">
                  <a:alpha val="0"/>
                </a:schemeClr>
              </a:gs>
              <a:gs pos="50000">
                <a:schemeClr val="accent1"/>
              </a:gs>
            </a:gsLst>
            <a:lin ang="5400000" scaled="0"/>
          </a:gra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5608345623453093E-2"/>
          <c:y val="0.30906653687494512"/>
          <c:w val="0.83125020128647675"/>
          <c:h val="0.41967226470456076"/>
        </c:manualLayout>
      </c:layout>
      <c:bar3DChart>
        <c:barDir val="col"/>
        <c:grouping val="standard"/>
        <c:varyColors val="0"/>
        <c:ser>
          <c:idx val="0"/>
          <c:order val="0"/>
          <c:tx>
            <c:strRef>
              <c:f>'Atten. &amp; Proj. Count'!$D$4</c:f>
              <c:strCache>
                <c:ptCount val="1"/>
                <c:pt idx="0">
                  <c:v>Total</c:v>
                </c:pt>
              </c:strCache>
            </c:strRef>
          </c:tx>
          <c:spPr>
            <a:gradFill>
              <a:gsLst>
                <a:gs pos="100000">
                  <a:schemeClr val="accent1">
                    <a:alpha val="0"/>
                  </a:schemeClr>
                </a:gs>
                <a:gs pos="50000">
                  <a:schemeClr val="accent1"/>
                </a:gs>
              </a:gsLst>
              <a:lin ang="5400000" scaled="0"/>
            </a:gradFill>
            <a:ln>
              <a:noFill/>
            </a:ln>
            <a:effectLst/>
            <a:sp3d/>
          </c:spPr>
          <c:invertIfNegative val="0"/>
          <c:cat>
            <c:multiLvlStrRef>
              <c:f>'Atten. &amp; Proj. Count'!$C$5:$C$35</c:f>
              <c:multiLvlStrCache>
                <c:ptCount val="28"/>
                <c:lvl>
                  <c:pt idx="0">
                    <c:v>0.82</c:v>
                  </c:pt>
                  <c:pt idx="1">
                    <c:v>0.83</c:v>
                  </c:pt>
                  <c:pt idx="2">
                    <c:v>0.84</c:v>
                  </c:pt>
                  <c:pt idx="3">
                    <c:v>0.85</c:v>
                  </c:pt>
                  <c:pt idx="4">
                    <c:v>0.86</c:v>
                  </c:pt>
                  <c:pt idx="5">
                    <c:v>0.89</c:v>
                  </c:pt>
                  <c:pt idx="6">
                    <c:v>0.9</c:v>
                  </c:pt>
                  <c:pt idx="7">
                    <c:v>0.91</c:v>
                  </c:pt>
                  <c:pt idx="8">
                    <c:v>0.92</c:v>
                  </c:pt>
                  <c:pt idx="9">
                    <c:v>0.93</c:v>
                  </c:pt>
                  <c:pt idx="10">
                    <c:v>0.94</c:v>
                  </c:pt>
                  <c:pt idx="11">
                    <c:v>0.95</c:v>
                  </c:pt>
                  <c:pt idx="12">
                    <c:v>0.96</c:v>
                  </c:pt>
                  <c:pt idx="13">
                    <c:v>0.98</c:v>
                  </c:pt>
                  <c:pt idx="14">
                    <c:v>0.99</c:v>
                  </c:pt>
                  <c:pt idx="15">
                    <c:v>91</c:v>
                  </c:pt>
                  <c:pt idx="16">
                    <c:v>0.81</c:v>
                  </c:pt>
                  <c:pt idx="17">
                    <c:v>0.84</c:v>
                  </c:pt>
                  <c:pt idx="18">
                    <c:v>0.85</c:v>
                  </c:pt>
                  <c:pt idx="19">
                    <c:v>0.87</c:v>
                  </c:pt>
                  <c:pt idx="20">
                    <c:v>0.88</c:v>
                  </c:pt>
                  <c:pt idx="21">
                    <c:v>0.89</c:v>
                  </c:pt>
                  <c:pt idx="22">
                    <c:v>0.91</c:v>
                  </c:pt>
                  <c:pt idx="23">
                    <c:v>0.93</c:v>
                  </c:pt>
                  <c:pt idx="24">
                    <c:v>0.94</c:v>
                  </c:pt>
                  <c:pt idx="25">
                    <c:v>0.95</c:v>
                  </c:pt>
                  <c:pt idx="26">
                    <c:v>0.96</c:v>
                  </c:pt>
                  <c:pt idx="27">
                    <c:v>0.97</c:v>
                  </c:pt>
                </c:lvl>
                <c:lvl>
                  <c:pt idx="0">
                    <c:v>female</c:v>
                  </c:pt>
                  <c:pt idx="16">
                    <c:v>Male</c:v>
                  </c:pt>
                </c:lvl>
              </c:multiLvlStrCache>
            </c:multiLvlStrRef>
          </c:cat>
          <c:val>
            <c:numRef>
              <c:f>'Atten. &amp; Proj. Count'!$D$5:$D$35</c:f>
              <c:numCache>
                <c:formatCode>General</c:formatCode>
                <c:ptCount val="28"/>
                <c:pt idx="0">
                  <c:v>1</c:v>
                </c:pt>
                <c:pt idx="1">
                  <c:v>1</c:v>
                </c:pt>
                <c:pt idx="2">
                  <c:v>1</c:v>
                </c:pt>
                <c:pt idx="3">
                  <c:v>1</c:v>
                </c:pt>
                <c:pt idx="4">
                  <c:v>1</c:v>
                </c:pt>
                <c:pt idx="5">
                  <c:v>1</c:v>
                </c:pt>
                <c:pt idx="6">
                  <c:v>2</c:v>
                </c:pt>
                <c:pt idx="7">
                  <c:v>1</c:v>
                </c:pt>
                <c:pt idx="8">
                  <c:v>3</c:v>
                </c:pt>
                <c:pt idx="9">
                  <c:v>3</c:v>
                </c:pt>
                <c:pt idx="10">
                  <c:v>1</c:v>
                </c:pt>
                <c:pt idx="11">
                  <c:v>2</c:v>
                </c:pt>
                <c:pt idx="12">
                  <c:v>1</c:v>
                </c:pt>
                <c:pt idx="13">
                  <c:v>2</c:v>
                </c:pt>
                <c:pt idx="14">
                  <c:v>1</c:v>
                </c:pt>
                <c:pt idx="15">
                  <c:v>1</c:v>
                </c:pt>
                <c:pt idx="16">
                  <c:v>1</c:v>
                </c:pt>
                <c:pt idx="17">
                  <c:v>1</c:v>
                </c:pt>
                <c:pt idx="18">
                  <c:v>3</c:v>
                </c:pt>
                <c:pt idx="19">
                  <c:v>2</c:v>
                </c:pt>
                <c:pt idx="20">
                  <c:v>3</c:v>
                </c:pt>
                <c:pt idx="21">
                  <c:v>2</c:v>
                </c:pt>
                <c:pt idx="22">
                  <c:v>2</c:v>
                </c:pt>
                <c:pt idx="23">
                  <c:v>1</c:v>
                </c:pt>
                <c:pt idx="24">
                  <c:v>3</c:v>
                </c:pt>
                <c:pt idx="25">
                  <c:v>2</c:v>
                </c:pt>
                <c:pt idx="26">
                  <c:v>2</c:v>
                </c:pt>
                <c:pt idx="27">
                  <c:v>3</c:v>
                </c:pt>
              </c:numCache>
            </c:numRef>
          </c:val>
          <c:extLst>
            <c:ext xmlns:c16="http://schemas.microsoft.com/office/drawing/2014/chart" uri="{C3380CC4-5D6E-409C-BE32-E72D297353CC}">
              <c16:uniqueId val="{00000000-5646-4E5A-9FA9-B000DBF107C5}"/>
            </c:ext>
          </c:extLst>
        </c:ser>
        <c:dLbls>
          <c:showLegendKey val="0"/>
          <c:showVal val="0"/>
          <c:showCatName val="0"/>
          <c:showSerName val="0"/>
          <c:showPercent val="0"/>
          <c:showBubbleSize val="0"/>
        </c:dLbls>
        <c:gapWidth val="150"/>
        <c:gapDepth val="0"/>
        <c:shape val="box"/>
        <c:axId val="1987622864"/>
        <c:axId val="1987623344"/>
        <c:axId val="1696424688"/>
      </c:bar3DChart>
      <c:catAx>
        <c:axId val="198762286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87623344"/>
        <c:crosses val="autoZero"/>
        <c:auto val="1"/>
        <c:lblAlgn val="ctr"/>
        <c:lblOffset val="100"/>
        <c:noMultiLvlLbl val="0"/>
      </c:catAx>
      <c:valAx>
        <c:axId val="1987623344"/>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622864"/>
        <c:crosses val="autoZero"/>
        <c:crossBetween val="between"/>
      </c:valAx>
      <c:serAx>
        <c:axId val="1696424688"/>
        <c:scaling>
          <c:orientation val="minMax"/>
        </c:scaling>
        <c:delete val="0"/>
        <c:axPos val="b"/>
        <c:majorTickMark val="out"/>
        <c:minorTickMark val="none"/>
        <c:tickLblPos val="nextTo"/>
        <c:spPr>
          <a:noFill/>
          <a:ln w="9525"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87623344"/>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2.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6.xml><?xml version="1.0" encoding="utf-8"?>
<cs:chartStyle xmlns:cs="http://schemas.microsoft.com/office/drawing/2012/chartStyle" xmlns:a="http://schemas.openxmlformats.org/drawingml/2006/main" id="299">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ln w="19050" cap="flat" cmpd="sng" algn="ctr">
        <a:solidFill>
          <a:schemeClr val="tx1">
            <a:lumMod val="25000"/>
            <a:lumOff val="75000"/>
          </a:schemeClr>
        </a:solidFill>
        <a:round/>
      </a:ln>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6</xdr:col>
      <xdr:colOff>76200</xdr:colOff>
      <xdr:row>3</xdr:row>
      <xdr:rowOff>166687</xdr:rowOff>
    </xdr:from>
    <xdr:to>
      <xdr:col>13</xdr:col>
      <xdr:colOff>381000</xdr:colOff>
      <xdr:row>18</xdr:row>
      <xdr:rowOff>52387</xdr:rowOff>
    </xdr:to>
    <xdr:graphicFrame macro="">
      <xdr:nvGraphicFramePr>
        <xdr:cNvPr id="3" name="Chart 2">
          <a:extLst>
            <a:ext uri="{FF2B5EF4-FFF2-40B4-BE49-F238E27FC236}">
              <a16:creationId xmlns:a16="http://schemas.microsoft.com/office/drawing/2014/main" id="{B4C52247-3787-1D9F-7D4B-BB90E956BB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600075</xdr:colOff>
      <xdr:row>2</xdr:row>
      <xdr:rowOff>4762</xdr:rowOff>
    </xdr:from>
    <xdr:to>
      <xdr:col>12</xdr:col>
      <xdr:colOff>295275</xdr:colOff>
      <xdr:row>16</xdr:row>
      <xdr:rowOff>80962</xdr:rowOff>
    </xdr:to>
    <xdr:graphicFrame macro="">
      <xdr:nvGraphicFramePr>
        <xdr:cNvPr id="2" name="Chart 1">
          <a:extLst>
            <a:ext uri="{FF2B5EF4-FFF2-40B4-BE49-F238E27FC236}">
              <a16:creationId xmlns:a16="http://schemas.microsoft.com/office/drawing/2014/main" id="{5909566E-153B-A5ED-BCF7-CC9B77479A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28575</xdr:colOff>
      <xdr:row>2</xdr:row>
      <xdr:rowOff>128587</xdr:rowOff>
    </xdr:from>
    <xdr:to>
      <xdr:col>13</xdr:col>
      <xdr:colOff>323850</xdr:colOff>
      <xdr:row>17</xdr:row>
      <xdr:rowOff>14287</xdr:rowOff>
    </xdr:to>
    <xdr:graphicFrame macro="">
      <xdr:nvGraphicFramePr>
        <xdr:cNvPr id="2" name="Chart 1">
          <a:extLst>
            <a:ext uri="{FF2B5EF4-FFF2-40B4-BE49-F238E27FC236}">
              <a16:creationId xmlns:a16="http://schemas.microsoft.com/office/drawing/2014/main" id="{76AB4497-B7F4-A503-22B4-3EB6C443B1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247650</xdr:colOff>
      <xdr:row>4</xdr:row>
      <xdr:rowOff>185737</xdr:rowOff>
    </xdr:from>
    <xdr:to>
      <xdr:col>13</xdr:col>
      <xdr:colOff>552450</xdr:colOff>
      <xdr:row>19</xdr:row>
      <xdr:rowOff>71437</xdr:rowOff>
    </xdr:to>
    <xdr:graphicFrame macro="">
      <xdr:nvGraphicFramePr>
        <xdr:cNvPr id="2" name="Chart 1">
          <a:extLst>
            <a:ext uri="{FF2B5EF4-FFF2-40B4-BE49-F238E27FC236}">
              <a16:creationId xmlns:a16="http://schemas.microsoft.com/office/drawing/2014/main" id="{41A72BE6-2BBF-A694-C3E6-6C87F80804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14</xdr:col>
      <xdr:colOff>95250</xdr:colOff>
      <xdr:row>0</xdr:row>
      <xdr:rowOff>63500</xdr:rowOff>
    </xdr:from>
    <xdr:to>
      <xdr:col>22</xdr:col>
      <xdr:colOff>306917</xdr:colOff>
      <xdr:row>3</xdr:row>
      <xdr:rowOff>42333</xdr:rowOff>
    </xdr:to>
    <xdr:sp macro="" textlink="">
      <xdr:nvSpPr>
        <xdr:cNvPr id="2" name="TextBox 1">
          <a:extLst>
            <a:ext uri="{FF2B5EF4-FFF2-40B4-BE49-F238E27FC236}">
              <a16:creationId xmlns:a16="http://schemas.microsoft.com/office/drawing/2014/main" id="{3C16956D-EA6D-B8C7-8B45-559A50A32EBD}"/>
            </a:ext>
          </a:extLst>
        </xdr:cNvPr>
        <xdr:cNvSpPr txBox="1"/>
      </xdr:nvSpPr>
      <xdr:spPr>
        <a:xfrm>
          <a:off x="8720667" y="63500"/>
          <a:ext cx="5122333" cy="560916"/>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latin typeface="Britannic Bold" panose="020B0903060703020204" pitchFamily="34" charset="0"/>
            </a:rPr>
            <a:t>HR</a:t>
          </a:r>
          <a:r>
            <a:rPr lang="en-IN" sz="1800" b="1" baseline="0">
              <a:latin typeface="Britannic Bold" panose="020B0903060703020204" pitchFamily="34" charset="0"/>
            </a:rPr>
            <a:t> EMPLOYEE ANALYTICAL REPORT</a:t>
          </a:r>
          <a:endParaRPr lang="en-IN" sz="1800" b="1">
            <a:latin typeface="Britannic Bold" panose="020B0903060703020204" pitchFamily="34" charset="0"/>
          </a:endParaRPr>
        </a:p>
      </xdr:txBody>
    </xdr:sp>
    <xdr:clientData/>
  </xdr:twoCellAnchor>
  <xdr:twoCellAnchor>
    <xdr:from>
      <xdr:col>0</xdr:col>
      <xdr:colOff>52918</xdr:colOff>
      <xdr:row>4</xdr:row>
      <xdr:rowOff>52918</xdr:rowOff>
    </xdr:from>
    <xdr:to>
      <xdr:col>7</xdr:col>
      <xdr:colOff>455084</xdr:colOff>
      <xdr:row>18</xdr:row>
      <xdr:rowOff>1</xdr:rowOff>
    </xdr:to>
    <xdr:graphicFrame macro="">
      <xdr:nvGraphicFramePr>
        <xdr:cNvPr id="3" name="Chart 2">
          <a:extLst>
            <a:ext uri="{FF2B5EF4-FFF2-40B4-BE49-F238E27FC236}">
              <a16:creationId xmlns:a16="http://schemas.microsoft.com/office/drawing/2014/main" id="{03016D0A-10A4-4662-99D0-E5F115EAD5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518581</xdr:colOff>
      <xdr:row>4</xdr:row>
      <xdr:rowOff>63501</xdr:rowOff>
    </xdr:from>
    <xdr:to>
      <xdr:col>16</xdr:col>
      <xdr:colOff>582084</xdr:colOff>
      <xdr:row>17</xdr:row>
      <xdr:rowOff>169334</xdr:rowOff>
    </xdr:to>
    <xdr:graphicFrame macro="">
      <xdr:nvGraphicFramePr>
        <xdr:cNvPr id="4" name="Chart 3">
          <a:extLst>
            <a:ext uri="{FF2B5EF4-FFF2-40B4-BE49-F238E27FC236}">
              <a16:creationId xmlns:a16="http://schemas.microsoft.com/office/drawing/2014/main" id="{015430FF-860F-4C26-B83E-F1B70F8D1D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529167</xdr:colOff>
      <xdr:row>18</xdr:row>
      <xdr:rowOff>42333</xdr:rowOff>
    </xdr:from>
    <xdr:to>
      <xdr:col>16</xdr:col>
      <xdr:colOff>571500</xdr:colOff>
      <xdr:row>30</xdr:row>
      <xdr:rowOff>158750</xdr:rowOff>
    </xdr:to>
    <xdr:graphicFrame macro="">
      <xdr:nvGraphicFramePr>
        <xdr:cNvPr id="6" name="Chart 5">
          <a:extLst>
            <a:ext uri="{FF2B5EF4-FFF2-40B4-BE49-F238E27FC236}">
              <a16:creationId xmlns:a16="http://schemas.microsoft.com/office/drawing/2014/main" id="{3C9EF410-36BE-419D-BCA7-EA6A25129A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42333</xdr:colOff>
      <xdr:row>18</xdr:row>
      <xdr:rowOff>42333</xdr:rowOff>
    </xdr:from>
    <xdr:to>
      <xdr:col>7</xdr:col>
      <xdr:colOff>444500</xdr:colOff>
      <xdr:row>30</xdr:row>
      <xdr:rowOff>137584</xdr:rowOff>
    </xdr:to>
    <xdr:graphicFrame macro="">
      <xdr:nvGraphicFramePr>
        <xdr:cNvPr id="7" name="Chart 6">
          <a:extLst>
            <a:ext uri="{FF2B5EF4-FFF2-40B4-BE49-F238E27FC236}">
              <a16:creationId xmlns:a16="http://schemas.microsoft.com/office/drawing/2014/main" id="{E2779823-7EEC-4768-8A94-46CAC2DBAD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31750</xdr:colOff>
      <xdr:row>1</xdr:row>
      <xdr:rowOff>42334</xdr:rowOff>
    </xdr:from>
    <xdr:to>
      <xdr:col>3</xdr:col>
      <xdr:colOff>243417</xdr:colOff>
      <xdr:row>3</xdr:row>
      <xdr:rowOff>158751</xdr:rowOff>
    </xdr:to>
    <xdr:sp macro="" textlink="'Atten. &amp; Proj. Count'!I2">
      <xdr:nvSpPr>
        <xdr:cNvPr id="8" name="TextBox 7">
          <a:extLst>
            <a:ext uri="{FF2B5EF4-FFF2-40B4-BE49-F238E27FC236}">
              <a16:creationId xmlns:a16="http://schemas.microsoft.com/office/drawing/2014/main" id="{862A4FD5-C24C-E1F5-6902-A64E9F7B3F4F}"/>
            </a:ext>
          </a:extLst>
        </xdr:cNvPr>
        <xdr:cNvSpPr txBox="1"/>
      </xdr:nvSpPr>
      <xdr:spPr>
        <a:xfrm>
          <a:off x="31750" y="42334"/>
          <a:ext cx="2053167" cy="497417"/>
        </a:xfrm>
        <a:prstGeom prst="rect">
          <a:avLst/>
        </a:prstGeom>
        <a:solidFill>
          <a:schemeClr val="tx1">
            <a:lumMod val="65000"/>
            <a:lumOff val="3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DB7E13F-19C7-400E-B164-6D11955B373F}" type="TxLink">
            <a:rPr lang="en-US" sz="3200" b="1" i="0" u="none" strike="noStrike">
              <a:solidFill>
                <a:schemeClr val="bg1"/>
              </a:solidFill>
              <a:latin typeface="Calibri"/>
              <a:cs typeface="Calibri"/>
            </a:rPr>
            <a:pPr algn="ctr"/>
            <a:t>48</a:t>
          </a:fld>
          <a:endParaRPr lang="en-IN" sz="3200" b="1">
            <a:solidFill>
              <a:schemeClr val="bg1"/>
            </a:solidFill>
          </a:endParaRPr>
        </a:p>
      </xdr:txBody>
    </xdr:sp>
    <xdr:clientData/>
  </xdr:twoCellAnchor>
  <xdr:twoCellAnchor>
    <xdr:from>
      <xdr:col>10</xdr:col>
      <xdr:colOff>258233</xdr:colOff>
      <xdr:row>1</xdr:row>
      <xdr:rowOff>67733</xdr:rowOff>
    </xdr:from>
    <xdr:to>
      <xdr:col>13</xdr:col>
      <xdr:colOff>438150</xdr:colOff>
      <xdr:row>3</xdr:row>
      <xdr:rowOff>184150</xdr:rowOff>
    </xdr:to>
    <xdr:sp macro="" textlink="'Atten. &amp; Proj. Count'!O2">
      <xdr:nvSpPr>
        <xdr:cNvPr id="15" name="TextBox 14">
          <a:extLst>
            <a:ext uri="{FF2B5EF4-FFF2-40B4-BE49-F238E27FC236}">
              <a16:creationId xmlns:a16="http://schemas.microsoft.com/office/drawing/2014/main" id="{E0E35C14-8607-BD52-7BE4-03AECA1ADF12}"/>
            </a:ext>
          </a:extLst>
        </xdr:cNvPr>
        <xdr:cNvSpPr txBox="1"/>
      </xdr:nvSpPr>
      <xdr:spPr>
        <a:xfrm>
          <a:off x="6396566" y="67733"/>
          <a:ext cx="2053167" cy="497417"/>
        </a:xfrm>
        <a:prstGeom prst="rect">
          <a:avLst/>
        </a:prstGeom>
        <a:solidFill>
          <a:schemeClr val="tx1">
            <a:lumMod val="65000"/>
            <a:lumOff val="3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6B98DEB-64FB-48D3-A9B2-D1F83C84E908}" type="TxLink">
            <a:rPr lang="en-US" sz="2400" b="1" i="0" u="none" strike="noStrike">
              <a:solidFill>
                <a:schemeClr val="bg1"/>
              </a:solidFill>
              <a:latin typeface="Calibri"/>
              <a:cs typeface="Calibri"/>
            </a:rPr>
            <a:t>278.67%</a:t>
          </a:fld>
          <a:endParaRPr lang="en-IN" sz="2400" b="1">
            <a:solidFill>
              <a:schemeClr val="bg1"/>
            </a:solidFill>
          </a:endParaRPr>
        </a:p>
      </xdr:txBody>
    </xdr:sp>
    <xdr:clientData/>
  </xdr:twoCellAnchor>
  <xdr:twoCellAnchor>
    <xdr:from>
      <xdr:col>6</xdr:col>
      <xdr:colOff>579967</xdr:colOff>
      <xdr:row>1</xdr:row>
      <xdr:rowOff>61384</xdr:rowOff>
    </xdr:from>
    <xdr:to>
      <xdr:col>10</xdr:col>
      <xdr:colOff>177801</xdr:colOff>
      <xdr:row>3</xdr:row>
      <xdr:rowOff>177801</xdr:rowOff>
    </xdr:to>
    <xdr:sp macro="" textlink="'Atten. &amp; Proj. Count'!M2">
      <xdr:nvSpPr>
        <xdr:cNvPr id="16" name="TextBox 15">
          <a:extLst>
            <a:ext uri="{FF2B5EF4-FFF2-40B4-BE49-F238E27FC236}">
              <a16:creationId xmlns:a16="http://schemas.microsoft.com/office/drawing/2014/main" id="{BA3D87C1-84C5-5E12-CF7E-560BE1D31FB2}"/>
            </a:ext>
          </a:extLst>
        </xdr:cNvPr>
        <xdr:cNvSpPr txBox="1"/>
      </xdr:nvSpPr>
      <xdr:spPr>
        <a:xfrm>
          <a:off x="4262967" y="61384"/>
          <a:ext cx="2053167" cy="497417"/>
        </a:xfrm>
        <a:prstGeom prst="rect">
          <a:avLst/>
        </a:prstGeom>
        <a:solidFill>
          <a:schemeClr val="tx1">
            <a:lumMod val="65000"/>
            <a:lumOff val="3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34A6F78-9C1D-4BFB-A6F6-F90BC3076C73}" type="TxLink">
            <a:rPr lang="en-US" sz="3200" b="1" i="0" u="none" strike="noStrike">
              <a:solidFill>
                <a:schemeClr val="bg1"/>
              </a:solidFill>
              <a:latin typeface="Calibri"/>
              <a:cs typeface="Calibri"/>
            </a:rPr>
            <a:pPr algn="ctr"/>
            <a:t>3.84</a:t>
          </a:fld>
          <a:endParaRPr lang="en-IN" sz="3200" b="1">
            <a:solidFill>
              <a:schemeClr val="bg1"/>
            </a:solidFill>
          </a:endParaRPr>
        </a:p>
      </xdr:txBody>
    </xdr:sp>
    <xdr:clientData/>
  </xdr:twoCellAnchor>
  <xdr:twoCellAnchor>
    <xdr:from>
      <xdr:col>3</xdr:col>
      <xdr:colOff>298449</xdr:colOff>
      <xdr:row>1</xdr:row>
      <xdr:rowOff>52920</xdr:rowOff>
    </xdr:from>
    <xdr:to>
      <xdr:col>6</xdr:col>
      <xdr:colOff>510116</xdr:colOff>
      <xdr:row>3</xdr:row>
      <xdr:rowOff>169337</xdr:rowOff>
    </xdr:to>
    <xdr:sp macro="" textlink="'Atten. &amp; Proj. Count'!K2">
      <xdr:nvSpPr>
        <xdr:cNvPr id="17" name="TextBox 16">
          <a:extLst>
            <a:ext uri="{FF2B5EF4-FFF2-40B4-BE49-F238E27FC236}">
              <a16:creationId xmlns:a16="http://schemas.microsoft.com/office/drawing/2014/main" id="{11A7A735-D484-0A51-9696-7D986261CED8}"/>
            </a:ext>
          </a:extLst>
        </xdr:cNvPr>
        <xdr:cNvSpPr txBox="1"/>
      </xdr:nvSpPr>
      <xdr:spPr>
        <a:xfrm>
          <a:off x="2139949" y="52920"/>
          <a:ext cx="2053167" cy="497417"/>
        </a:xfrm>
        <a:prstGeom prst="rect">
          <a:avLst/>
        </a:prstGeom>
        <a:solidFill>
          <a:schemeClr val="tx1">
            <a:lumMod val="65000"/>
            <a:lumOff val="3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4EEC467-4241-4348-A8FA-454DE332F200}" type="TxLink">
            <a:rPr lang="en-US" sz="2800" b="1" i="0" u="none" strike="noStrike">
              <a:solidFill>
                <a:schemeClr val="bg1"/>
              </a:solidFill>
              <a:latin typeface="Calibri"/>
              <a:cs typeface="Calibri"/>
            </a:rPr>
            <a:t>₹ 67,812.50</a:t>
          </a:fld>
          <a:endParaRPr lang="en-US" sz="2800" b="1">
            <a:solidFill>
              <a:schemeClr val="bg1"/>
            </a:solidFill>
          </a:endParaRPr>
        </a:p>
      </xdr:txBody>
    </xdr:sp>
    <xdr:clientData/>
  </xdr:twoCellAnchor>
  <xdr:twoCellAnchor editAs="oneCell">
    <xdr:from>
      <xdr:col>17</xdr:col>
      <xdr:colOff>47625</xdr:colOff>
      <xdr:row>3</xdr:row>
      <xdr:rowOff>169334</xdr:rowOff>
    </xdr:from>
    <xdr:to>
      <xdr:col>20</xdr:col>
      <xdr:colOff>34925</xdr:colOff>
      <xdr:row>13</xdr:row>
      <xdr:rowOff>21168</xdr:rowOff>
    </xdr:to>
    <mc:AlternateContent xmlns:mc="http://schemas.openxmlformats.org/markup-compatibility/2006">
      <mc:Choice xmlns:a14="http://schemas.microsoft.com/office/drawing/2010/main" Requires="a14">
        <xdr:graphicFrame macro="">
          <xdr:nvGraphicFramePr>
            <xdr:cNvPr id="18" name="DEPARTMENT">
              <a:extLst>
                <a:ext uri="{FF2B5EF4-FFF2-40B4-BE49-F238E27FC236}">
                  <a16:creationId xmlns:a16="http://schemas.microsoft.com/office/drawing/2014/main" id="{277167DA-C854-E424-BC75-C3842601D5E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0514542" y="751417"/>
              <a:ext cx="1828800" cy="17568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79375</xdr:colOff>
      <xdr:row>3</xdr:row>
      <xdr:rowOff>137585</xdr:rowOff>
    </xdr:from>
    <xdr:to>
      <xdr:col>23</xdr:col>
      <xdr:colOff>66675</xdr:colOff>
      <xdr:row>9</xdr:row>
      <xdr:rowOff>10585</xdr:rowOff>
    </xdr:to>
    <mc:AlternateContent xmlns:mc="http://schemas.openxmlformats.org/markup-compatibility/2006">
      <mc:Choice xmlns:a14="http://schemas.microsoft.com/office/drawing/2010/main" Requires="a14">
        <xdr:graphicFrame macro="">
          <xdr:nvGraphicFramePr>
            <xdr:cNvPr id="19" name="Gender">
              <a:extLst>
                <a:ext uri="{FF2B5EF4-FFF2-40B4-BE49-F238E27FC236}">
                  <a16:creationId xmlns:a16="http://schemas.microsoft.com/office/drawing/2014/main" id="{675862EB-F05D-E3C4-16BE-2C91DFEB77B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2387792" y="719668"/>
              <a:ext cx="1828800" cy="101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111124</xdr:colOff>
      <xdr:row>9</xdr:row>
      <xdr:rowOff>74083</xdr:rowOff>
    </xdr:from>
    <xdr:to>
      <xdr:col>23</xdr:col>
      <xdr:colOff>98424</xdr:colOff>
      <xdr:row>23</xdr:row>
      <xdr:rowOff>31750</xdr:rowOff>
    </xdr:to>
    <mc:AlternateContent xmlns:mc="http://schemas.openxmlformats.org/markup-compatibility/2006">
      <mc:Choice xmlns:a14="http://schemas.microsoft.com/office/drawing/2010/main" Requires="a14">
        <xdr:graphicFrame macro="">
          <xdr:nvGraphicFramePr>
            <xdr:cNvPr id="20" name="State">
              <a:extLst>
                <a:ext uri="{FF2B5EF4-FFF2-40B4-BE49-F238E27FC236}">
                  <a16:creationId xmlns:a16="http://schemas.microsoft.com/office/drawing/2014/main" id="{0C58FA39-6588-86F5-FCCD-036A392AD28F}"/>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2419541" y="1799166"/>
              <a:ext cx="1828800" cy="26246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68792</xdr:colOff>
      <xdr:row>13</xdr:row>
      <xdr:rowOff>74085</xdr:rowOff>
    </xdr:from>
    <xdr:to>
      <xdr:col>20</xdr:col>
      <xdr:colOff>56092</xdr:colOff>
      <xdr:row>21</xdr:row>
      <xdr:rowOff>31751</xdr:rowOff>
    </xdr:to>
    <mc:AlternateContent xmlns:mc="http://schemas.openxmlformats.org/markup-compatibility/2006">
      <mc:Choice xmlns:a14="http://schemas.microsoft.com/office/drawing/2010/main" Requires="a14">
        <xdr:graphicFrame macro="">
          <xdr:nvGraphicFramePr>
            <xdr:cNvPr id="21" name="Employment Type">
              <a:extLst>
                <a:ext uri="{FF2B5EF4-FFF2-40B4-BE49-F238E27FC236}">
                  <a16:creationId xmlns:a16="http://schemas.microsoft.com/office/drawing/2014/main" id="{23EDFCF0-DF2D-C4D3-D2B8-0A5B65F02950}"/>
                </a:ext>
              </a:extLst>
            </xdr:cNvPr>
            <xdr:cNvGraphicFramePr/>
          </xdr:nvGraphicFramePr>
          <xdr:xfrm>
            <a:off x="0" y="0"/>
            <a:ext cx="0" cy="0"/>
          </xdr:xfrm>
          <a:graphic>
            <a:graphicData uri="http://schemas.microsoft.com/office/drawing/2010/slicer">
              <sle:slicer xmlns:sle="http://schemas.microsoft.com/office/drawing/2010/slicer" name="Employment Type"/>
            </a:graphicData>
          </a:graphic>
        </xdr:graphicFrame>
      </mc:Choice>
      <mc:Fallback>
        <xdr:sp macro="" textlink="">
          <xdr:nvSpPr>
            <xdr:cNvPr id="0" name=""/>
            <xdr:cNvSpPr>
              <a:spLocks noTextEdit="1"/>
            </xdr:cNvSpPr>
          </xdr:nvSpPr>
          <xdr:spPr>
            <a:xfrm>
              <a:off x="10535709" y="2561168"/>
              <a:ext cx="1828800" cy="14816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59.78568854167" createdVersion="8" refreshedVersion="8" minRefreshableVersion="3" recordCount="48" xr:uid="{5EA8C626-60CD-4238-B660-2BA4F2D1C286}">
  <cacheSource type="worksheet">
    <worksheetSource name="Employee_Raw_Data"/>
  </cacheSource>
  <cacheFields count="20">
    <cacheField name="Emp ID" numFmtId="0">
      <sharedItems/>
    </cacheField>
    <cacheField name="Employee Name" numFmtId="0">
      <sharedItems/>
    </cacheField>
    <cacheField name="DEPARTMENT" numFmtId="0">
      <sharedItems count="5">
        <s v="It"/>
        <s v="Hr"/>
        <s v="Finance"/>
        <s v="Marketing"/>
        <s v="Operations"/>
      </sharedItems>
    </cacheField>
    <cacheField name="Designation" numFmtId="0">
      <sharedItems/>
    </cacheField>
    <cacheField name="Join Date" numFmtId="14">
      <sharedItems containsSemiMixedTypes="0" containsNonDate="0" containsDate="1" containsString="0" minDate="2013-09-01T00:00:00" maxDate="2023-06-02T00:00:00"/>
    </cacheField>
    <cacheField name="Date of Birth" numFmtId="14">
      <sharedItems containsSemiMixedTypes="0" containsNonDate="0" containsDate="1" containsString="0" minDate="1979-04-05T00:00:00" maxDate="2000-09-04T00:00:00"/>
    </cacheField>
    <cacheField name="Gender" numFmtId="0">
      <sharedItems count="2">
        <s v="Male"/>
        <s v="female"/>
      </sharedItems>
    </cacheField>
    <cacheField name="City" numFmtId="0">
      <sharedItems count="9">
        <s v="Delhi"/>
        <s v="Mumbai"/>
        <s v="Bangalore"/>
        <s v="Hyderabad"/>
        <s v="Pune"/>
        <s v="Chennai"/>
        <s v="Kolkata"/>
        <s v="Jaipur"/>
        <s v="Lucknow"/>
      </sharedItems>
    </cacheField>
    <cacheField name="State" numFmtId="0">
      <sharedItems count="8">
        <s v="Delhi"/>
        <s v="Maharashtra"/>
        <s v="Karnataka"/>
        <s v="Telangana"/>
        <s v="Tamil Nadu"/>
        <s v="West Bengal"/>
        <s v="Rajasthan"/>
        <s v="Uttar Pradesh"/>
      </sharedItems>
    </cacheField>
    <cacheField name="Salary (Monthly)" numFmtId="0">
      <sharedItems containsSemiMixedTypes="0" containsString="0" containsNumber="1" containsInteger="1" minValue="35000" maxValue="135000"/>
    </cacheField>
    <cacheField name="Bonus%" numFmtId="0">
      <sharedItems containsSemiMixedTypes="0" containsString="0" containsNumber="1" minValue="0.04" maxValue="10"/>
    </cacheField>
    <cacheField name="Performance Rating" numFmtId="0">
      <sharedItems containsSemiMixedTypes="0" containsString="0" containsNumber="1" minValue="3" maxValue="4.8"/>
    </cacheField>
    <cacheField name="Attendance %" numFmtId="0">
      <sharedItems containsSemiMixedTypes="0" containsString="0" containsNumber="1" minValue="0.81" maxValue="91" count="20">
        <n v="0.96"/>
        <n v="91"/>
        <n v="0.88"/>
        <n v="0.94"/>
        <n v="0.85"/>
        <n v="0.98"/>
        <n v="0.97"/>
        <n v="0.95"/>
        <n v="0.93"/>
        <n v="0.87"/>
        <n v="0.99"/>
        <n v="0.89"/>
        <n v="0.9"/>
        <n v="0.82"/>
        <n v="0.92"/>
        <n v="0.86"/>
        <n v="0.83"/>
        <n v="0.84"/>
        <n v="0.91"/>
        <n v="0.81"/>
      </sharedItems>
    </cacheField>
    <cacheField name="Project Count" numFmtId="0">
      <sharedItems containsSemiMixedTypes="0" containsString="0" containsNumber="1" containsInteger="1" minValue="1" maxValue="8"/>
    </cacheField>
    <cacheField name="Manager Name" numFmtId="0">
      <sharedItems/>
    </cacheField>
    <cacheField name="Employment Type" numFmtId="0">
      <sharedItems count="4">
        <s v="Full Time"/>
        <s v="fulltime"/>
        <s v="Contract"/>
        <s v="Full-Time"/>
      </sharedItems>
    </cacheField>
    <cacheField name="Experience (Yrs)" numFmtId="0">
      <sharedItems containsSemiMixedTypes="0" containsString="0" containsNumber="1" containsInteger="1" minValue="1" maxValue="16"/>
    </cacheField>
    <cacheField name="Education" numFmtId="0">
      <sharedItems/>
    </cacheField>
    <cacheField name="Last Appraisal" numFmtId="14">
      <sharedItems containsSemiMixedTypes="0" containsNonDate="0" containsDate="1" containsString="0" minDate="2023-07-15T00:00:00" maxDate="2024-01-11T00:00:00"/>
    </cacheField>
    <cacheField name="Status" numFmtId="0">
      <sharedItems/>
    </cacheField>
  </cacheFields>
  <extLst>
    <ext xmlns:x14="http://schemas.microsoft.com/office/spreadsheetml/2009/9/main" uri="{725AE2AE-9491-48be-B2B4-4EB974FC3084}">
      <x14:pivotCacheDefinition pivotCacheId="6585398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s v="E001"/>
    <s v="Rahul Sharma"/>
    <x v="0"/>
    <s v="Senior Developer"/>
    <d v="2019-03-15T00:00:00"/>
    <d v="1990-07-22T00:00:00"/>
    <x v="0"/>
    <x v="0"/>
    <x v="0"/>
    <n v="85000"/>
    <n v="0.12"/>
    <n v="4.2"/>
    <x v="0"/>
    <n v="5"/>
    <s v="Amit Verma"/>
    <x v="0"/>
    <n v="6"/>
    <s v="B.TECH"/>
    <d v="2024-01-10T00:00:00"/>
    <s v="Active"/>
  </r>
  <r>
    <s v="E002"/>
    <s v="Priya Singh"/>
    <x v="1"/>
    <s v="Hr Manager"/>
    <d v="2018-06-01T00:00:00"/>
    <d v="1988-11-05T00:00:00"/>
    <x v="1"/>
    <x v="1"/>
    <x v="1"/>
    <n v="72000"/>
    <n v="10"/>
    <n v="3.8"/>
    <x v="1"/>
    <n v="3"/>
    <s v="Sunita Rao"/>
    <x v="0"/>
    <n v="8"/>
    <s v="MBA"/>
    <d v="2024-01-10T00:00:00"/>
    <s v="Active"/>
  </r>
  <r>
    <s v="E003"/>
    <s v="Amit Kumar"/>
    <x v="2"/>
    <s v="Accountant"/>
    <d v="2021-01-20T00:00:00"/>
    <d v="1995-04-13T00:00:00"/>
    <x v="0"/>
    <x v="2"/>
    <x v="2"/>
    <n v="55000"/>
    <n v="0.08"/>
    <n v="3.5"/>
    <x v="2"/>
    <n v="2"/>
    <s v="Rajan Mehta"/>
    <x v="1"/>
    <n v="4"/>
    <s v="B.COM"/>
    <d v="2023-07-15T00:00:00"/>
    <s v="Active"/>
  </r>
  <r>
    <s v="E004"/>
    <s v="Neha Gupta"/>
    <x v="3"/>
    <s v="Marketing Executive"/>
    <d v="2020-09-10T00:00:00"/>
    <d v="1993-02-28T00:00:00"/>
    <x v="1"/>
    <x v="3"/>
    <x v="3"/>
    <n v="62000"/>
    <n v="0.09"/>
    <n v="4"/>
    <x v="3"/>
    <n v="4"/>
    <s v="Pooja Nair"/>
    <x v="0"/>
    <n v="5"/>
    <s v="BBA"/>
    <d v="2024-01-10T00:00:00"/>
    <s v="Active"/>
  </r>
  <r>
    <s v="E005"/>
    <s v="Rajesh Patel"/>
    <x v="0"/>
    <s v="Junior Developer"/>
    <d v="2022-07-05T00:00:00"/>
    <d v="1998-09-17T00:00:00"/>
    <x v="0"/>
    <x v="4"/>
    <x v="1"/>
    <n v="42000"/>
    <n v="0.05"/>
    <n v="3.2"/>
    <x v="4"/>
    <n v="1"/>
    <s v="Amit Verma"/>
    <x v="2"/>
    <n v="2"/>
    <s v="B.TECH"/>
    <d v="2023-07-15T00:00:00"/>
    <s v="Active"/>
  </r>
  <r>
    <s v="E006"/>
    <s v="Sunita Rao"/>
    <x v="1"/>
    <s v="Hr Director"/>
    <d v="2015-04-12T00:00:00"/>
    <d v="1982-01-30T00:00:00"/>
    <x v="1"/>
    <x v="0"/>
    <x v="0"/>
    <n v="120000"/>
    <n v="0.15"/>
    <n v="4.7"/>
    <x v="5"/>
    <n v="6"/>
    <s v="CEO"/>
    <x v="0"/>
    <n v="14"/>
    <s v="MBA"/>
    <d v="2024-01-10T00:00:00"/>
    <s v="Active"/>
  </r>
  <r>
    <s v="E007"/>
    <s v="Vikram Mehta"/>
    <x v="4"/>
    <s v="Operations Head"/>
    <d v="2017-08-22T00:00:00"/>
    <d v="1985-06-15T00:00:00"/>
    <x v="0"/>
    <x v="5"/>
    <x v="4"/>
    <n v="98000"/>
    <n v="0.14000000000000001"/>
    <n v="4.5"/>
    <x v="6"/>
    <n v="7"/>
    <s v="CEO"/>
    <x v="0"/>
    <n v="12"/>
    <s v="MBA"/>
    <d v="2024-01-10T00:00:00"/>
    <s v="Active"/>
  </r>
  <r>
    <s v="E008"/>
    <s v="Kavita Joshi"/>
    <x v="2"/>
    <s v="Finance Manager"/>
    <d v="2016-11-30T00:00:00"/>
    <d v="1987-03-08T00:00:00"/>
    <x v="1"/>
    <x v="6"/>
    <x v="5"/>
    <n v="88000"/>
    <n v="0.13"/>
    <n v="4.3"/>
    <x v="7"/>
    <n v="5"/>
    <s v="Rajan Mehta"/>
    <x v="0"/>
    <n v="10"/>
    <s v="CA"/>
    <d v="2024-01-10T00:00:00"/>
    <s v="Active"/>
  </r>
  <r>
    <s v="E009"/>
    <s v="Deepak Nair"/>
    <x v="0"/>
    <s v="Tech Lead"/>
    <d v="2018-02-14T00:00:00"/>
    <d v="1991-12-25T00:00:00"/>
    <x v="0"/>
    <x v="2"/>
    <x v="2"/>
    <n v="95000"/>
    <n v="0.12"/>
    <n v="4.4000000000000004"/>
    <x v="0"/>
    <n v="6"/>
    <s v="Amit Verma"/>
    <x v="3"/>
    <n v="7"/>
    <s v="M.TECH"/>
    <d v="2024-01-10T00:00:00"/>
    <s v="Active"/>
  </r>
  <r>
    <s v="E010"/>
    <s v="Anjali Verma"/>
    <x v="3"/>
    <s v="Marketing Manager"/>
    <d v="2019-05-20T00:00:00"/>
    <d v="1992-08-11T00:00:00"/>
    <x v="1"/>
    <x v="0"/>
    <x v="0"/>
    <n v="78000"/>
    <n v="0.11"/>
    <n v="4.0999999999999996"/>
    <x v="8"/>
    <n v="4"/>
    <s v="Pooja Nair"/>
    <x v="0"/>
    <n v="6"/>
    <s v="MBA"/>
    <d v="2024-01-10T00:00:00"/>
    <s v="Active"/>
  </r>
  <r>
    <s v="E011"/>
    <s v="Suresh Kumar"/>
    <x v="4"/>
    <s v="Logistics Executive"/>
    <d v="2021-03-08T00:00:00"/>
    <d v="1996-05-20T00:00:00"/>
    <x v="0"/>
    <x v="7"/>
    <x v="6"/>
    <n v="48000"/>
    <n v="0.06"/>
    <n v="3.3"/>
    <x v="9"/>
    <n v="2"/>
    <s v="Vikram Mehta"/>
    <x v="0"/>
    <n v="3"/>
    <s v="B.SC"/>
    <d v="2023-07-15T00:00:00"/>
    <s v="Active"/>
  </r>
  <r>
    <s v="E012"/>
    <s v="Pooja Nair"/>
    <x v="3"/>
    <s v="Marketing Director"/>
    <d v="2013-09-01T00:00:00"/>
    <d v="1980-10-14T00:00:00"/>
    <x v="1"/>
    <x v="1"/>
    <x v="1"/>
    <n v="135000"/>
    <n v="0.16"/>
    <n v="4.8"/>
    <x v="10"/>
    <n v="8"/>
    <s v="CEO"/>
    <x v="0"/>
    <n v="16"/>
    <s v="MBA"/>
    <d v="2024-01-10T00:00:00"/>
    <s v="Active"/>
  </r>
  <r>
    <s v="E013"/>
    <s v="Arjun Singh"/>
    <x v="0"/>
    <s v="Data Analyst"/>
    <d v="2022-01-15T00:00:00"/>
    <d v="1997-07-03T00:00:00"/>
    <x v="0"/>
    <x v="3"/>
    <x v="3"/>
    <n v="52000"/>
    <n v="7.0000000000000007E-2"/>
    <n v="3.6"/>
    <x v="11"/>
    <n v="3"/>
    <s v="Deepak Nair"/>
    <x v="2"/>
    <n v="3"/>
    <s v="B.TECH"/>
    <d v="2023-07-15T00:00:00"/>
    <s v="Active"/>
  </r>
  <r>
    <s v="E014"/>
    <s v="Meena Sharma"/>
    <x v="2"/>
    <s v="Tax Consultant"/>
    <d v="2020-04-01T00:00:00"/>
    <d v="1994-09-22T00:00:00"/>
    <x v="1"/>
    <x v="4"/>
    <x v="1"/>
    <n v="59000"/>
    <n v="0.08"/>
    <n v="3.7"/>
    <x v="12"/>
    <n v="2"/>
    <s v="Rajan Mehta"/>
    <x v="0"/>
    <n v="5"/>
    <s v="CA"/>
    <d v="2023-07-15T00:00:00"/>
    <s v="Active"/>
  </r>
  <r>
    <s v="E015"/>
    <s v="Rajan Mehta"/>
    <x v="2"/>
    <s v="Finance Director"/>
    <d v="2014-07-10T00:00:00"/>
    <d v="1979-04-05T00:00:00"/>
    <x v="0"/>
    <x v="0"/>
    <x v="0"/>
    <n v="115000"/>
    <n v="0.15"/>
    <n v="4.5999999999999996"/>
    <x v="6"/>
    <n v="7"/>
    <s v="CEO"/>
    <x v="0"/>
    <n v="15"/>
    <s v="CA"/>
    <d v="2024-01-10T00:00:00"/>
    <s v="Active"/>
  </r>
  <r>
    <s v="E016"/>
    <s v="Nisha Agarwal"/>
    <x v="1"/>
    <s v="Hr Executive"/>
    <d v="2023-02-20T00:00:00"/>
    <d v="2000-01-15T00:00:00"/>
    <x v="1"/>
    <x v="8"/>
    <x v="7"/>
    <n v="38000"/>
    <n v="0.04"/>
    <n v="3"/>
    <x v="13"/>
    <n v="1"/>
    <s v="Sunita Rao"/>
    <x v="2"/>
    <n v="1"/>
    <s v="BBA"/>
    <d v="2023-07-15T00:00:00"/>
    <s v="Active"/>
  </r>
  <r>
    <s v="E017"/>
    <s v="Karan Malhotra"/>
    <x v="0"/>
    <s v="System Admin"/>
    <d v="2020-10-05T00:00:00"/>
    <d v="1993-11-28T00:00:00"/>
    <x v="0"/>
    <x v="0"/>
    <x v="0"/>
    <n v="58000"/>
    <n v="0.08"/>
    <n v="3.5"/>
    <x v="2"/>
    <n v="2"/>
    <s v="Deepak Nair"/>
    <x v="0"/>
    <n v="4"/>
    <s v="B.TECH"/>
    <d v="2023-07-15T00:00:00"/>
    <s v="Active"/>
  </r>
  <r>
    <s v="E018"/>
    <s v="Divya Pillai"/>
    <x v="3"/>
    <s v="Digital Marketer"/>
    <d v="2021-06-14T00:00:00"/>
    <d v="1996-03-07T00:00:00"/>
    <x v="1"/>
    <x v="2"/>
    <x v="2"/>
    <n v="51000"/>
    <n v="7.0000000000000007E-2"/>
    <n v="3.8"/>
    <x v="14"/>
    <n v="3"/>
    <s v="Pooja Nair"/>
    <x v="0"/>
    <n v="3"/>
    <s v="BBA"/>
    <d v="2023-07-15T00:00:00"/>
    <s v="Active"/>
  </r>
  <r>
    <s v="E019"/>
    <s v="Rohit Bansal"/>
    <x v="4"/>
    <s v="Supply Chain Analyst"/>
    <d v="2019-12-01T00:00:00"/>
    <d v="1991-08-19T00:00:00"/>
    <x v="0"/>
    <x v="5"/>
    <x v="4"/>
    <n v="63000"/>
    <n v="0.09"/>
    <n v="4"/>
    <x v="8"/>
    <n v="4"/>
    <s v="Vikram Mehta"/>
    <x v="0"/>
    <n v="6"/>
    <s v="MBA"/>
    <d v="2024-01-10T00:00:00"/>
    <s v="Active"/>
  </r>
  <r>
    <s v="E020"/>
    <s v="Shalini Tiwari"/>
    <x v="1"/>
    <s v="Recruiter"/>
    <d v="2022-04-18T00:00:00"/>
    <d v="1998-02-14T00:00:00"/>
    <x v="1"/>
    <x v="7"/>
    <x v="6"/>
    <n v="41000"/>
    <n v="0.05"/>
    <n v="3.4"/>
    <x v="15"/>
    <n v="2"/>
    <s v="Sunita Rao"/>
    <x v="0"/>
    <n v="2"/>
    <s v="BBA"/>
    <d v="2023-07-15T00:00:00"/>
    <s v="Active"/>
  </r>
  <r>
    <s v="E021"/>
    <s v="Mukesh Yadav"/>
    <x v="2"/>
    <s v="Payroll Executive"/>
    <d v="2021-08-30T00:00:00"/>
    <d v="1995-12-01T00:00:00"/>
    <x v="0"/>
    <x v="6"/>
    <x v="5"/>
    <n v="46000"/>
    <n v="0.06"/>
    <n v="3.2"/>
    <x v="4"/>
    <n v="1"/>
    <s v="Rajan Mehta"/>
    <x v="2"/>
    <n v="4"/>
    <s v="B.COM"/>
    <d v="2023-07-15T00:00:00"/>
    <s v="Active"/>
  </r>
  <r>
    <s v="E022"/>
    <s v="Rekha Iyer"/>
    <x v="0"/>
    <s v="Qa Engineer"/>
    <d v="2020-03-22T00:00:00"/>
    <d v="1994-06-30T00:00:00"/>
    <x v="1"/>
    <x v="1"/>
    <x v="1"/>
    <n v="56000"/>
    <n v="7.0000000000000007E-2"/>
    <n v="3.6"/>
    <x v="11"/>
    <n v="3"/>
    <s v="Deepak Nair"/>
    <x v="0"/>
    <n v="5"/>
    <s v="B.TECH"/>
    <d v="2023-07-15T00:00:00"/>
    <s v="Active"/>
  </r>
  <r>
    <s v="E023"/>
    <s v="Anil Dubey"/>
    <x v="4"/>
    <s v="Warehouse Manager"/>
    <d v="2018-11-15T00:00:00"/>
    <d v="1986-09-12T00:00:00"/>
    <x v="0"/>
    <x v="0"/>
    <x v="0"/>
    <n v="71000"/>
    <n v="0.1"/>
    <n v="4.0999999999999996"/>
    <x v="3"/>
    <n v="4"/>
    <s v="Vikram Mehta"/>
    <x v="0"/>
    <n v="9"/>
    <s v="B.SC"/>
    <d v="2024-01-10T00:00:00"/>
    <s v="Active"/>
  </r>
  <r>
    <s v="E024"/>
    <s v="Shruti Bajaj"/>
    <x v="3"/>
    <s v="Content Writer"/>
    <d v="2023-01-10T00:00:00"/>
    <d v="1999-05-25T00:00:00"/>
    <x v="1"/>
    <x v="4"/>
    <x v="1"/>
    <n v="35000"/>
    <n v="0.04"/>
    <n v="3.1"/>
    <x v="16"/>
    <n v="1"/>
    <s v="Pooja Nair"/>
    <x v="2"/>
    <n v="1"/>
    <s v="BA"/>
    <d v="2023-07-15T00:00:00"/>
    <s v="Active"/>
  </r>
  <r>
    <s v="E025"/>
    <s v="Vinay Tripathi"/>
    <x v="0"/>
    <s v="Cloud Engineer"/>
    <d v="2019-07-08T00:00:00"/>
    <d v="1992-04-16T00:00:00"/>
    <x v="0"/>
    <x v="3"/>
    <x v="3"/>
    <n v="82000"/>
    <n v="0.11"/>
    <n v="4.2"/>
    <x v="7"/>
    <n v="5"/>
    <s v="Deepak Nair"/>
    <x v="0"/>
    <n v="7"/>
    <s v="M.TECH"/>
    <d v="2024-01-10T00:00:00"/>
    <s v="Active"/>
  </r>
  <r>
    <s v="E026"/>
    <s v="Amit Verma"/>
    <x v="0"/>
    <s v="It Manager"/>
    <d v="2017-01-15T00:00:00"/>
    <d v="1984-07-09T00:00:00"/>
    <x v="0"/>
    <x v="2"/>
    <x v="2"/>
    <n v="105000"/>
    <n v="0.14000000000000001"/>
    <n v="4.5"/>
    <x v="6"/>
    <n v="8"/>
    <s v="CEO"/>
    <x v="0"/>
    <n v="11"/>
    <s v="M.TECH"/>
    <d v="2024-01-10T00:00:00"/>
    <s v="Active"/>
  </r>
  <r>
    <s v="E027"/>
    <s v="Prerna Singh"/>
    <x v="3"/>
    <s v="Seo Specialist"/>
    <d v="2022-09-05T00:00:00"/>
    <d v="1997-01-22T00:00:00"/>
    <x v="1"/>
    <x v="1"/>
    <x v="1"/>
    <n v="44000"/>
    <n v="0.05"/>
    <n v="3.3"/>
    <x v="17"/>
    <n v="2"/>
    <s v="Pooja Nair"/>
    <x v="0"/>
    <n v="2"/>
    <s v="BBA"/>
    <d v="2023-07-15T00:00:00"/>
    <s v="Active"/>
  </r>
  <r>
    <s v="E028"/>
    <s v="Tarun Saxena"/>
    <x v="2"/>
    <s v="Financial Analyst"/>
    <d v="2020-07-20T00:00:00"/>
    <d v="1993-10-08T00:00:00"/>
    <x v="0"/>
    <x v="0"/>
    <x v="0"/>
    <n v="67000"/>
    <n v="0.09"/>
    <n v="3.9"/>
    <x v="18"/>
    <n v="3"/>
    <s v="Rajan Mehta"/>
    <x v="0"/>
    <n v="5"/>
    <s v="MBA"/>
    <d v="2023-07-15T00:00:00"/>
    <s v="Active"/>
  </r>
  <r>
    <s v="E029"/>
    <s v="Geeta Mishra"/>
    <x v="1"/>
    <s v="Training Manager"/>
    <d v="2017-05-25T00:00:00"/>
    <d v="1986-12-18T00:00:00"/>
    <x v="1"/>
    <x v="5"/>
    <x v="4"/>
    <n v="76000"/>
    <n v="0.11"/>
    <n v="4.2"/>
    <x v="7"/>
    <n v="5"/>
    <s v="Sunita Rao"/>
    <x v="0"/>
    <n v="10"/>
    <s v="MBA"/>
    <d v="2024-01-10T00:00:00"/>
    <s v="Active"/>
  </r>
  <r>
    <s v="E030"/>
    <s v="Sachin Jain"/>
    <x v="4"/>
    <s v="Process Analyst"/>
    <d v="2021-11-10T00:00:00"/>
    <d v="1995-03-27T00:00:00"/>
    <x v="0"/>
    <x v="7"/>
    <x v="6"/>
    <n v="53000"/>
    <n v="7.0000000000000007E-2"/>
    <n v="3.5"/>
    <x v="9"/>
    <n v="2"/>
    <s v="Vikram Mehta"/>
    <x v="0"/>
    <n v="4"/>
    <s v="B.E"/>
    <d v="2023-07-15T00:00:00"/>
    <s v="Active"/>
  </r>
  <r>
    <s v="E034"/>
    <s v="Ritika Chauhan"/>
    <x v="3"/>
    <s v="Brand Manager"/>
    <d v="2019-08-12T00:00:00"/>
    <d v="1991-02-06T00:00:00"/>
    <x v="1"/>
    <x v="2"/>
    <x v="2"/>
    <n v="74000"/>
    <n v="0.1"/>
    <n v="4"/>
    <x v="8"/>
    <n v="4"/>
    <s v="Pooja Nair"/>
    <x v="0"/>
    <n v="7"/>
    <s v="MBA"/>
    <d v="2024-01-10T00:00:00"/>
    <s v="Active"/>
  </r>
  <r>
    <s v="E035"/>
    <s v="Yogesh Pandey"/>
    <x v="0"/>
    <s v="Network Engineer"/>
    <d v="2022-12-01T00:00:00"/>
    <d v="1998-11-14T00:00:00"/>
    <x v="0"/>
    <x v="4"/>
    <x v="1"/>
    <n v="45000"/>
    <n v="0.05"/>
    <n v="3.2"/>
    <x v="17"/>
    <n v="1"/>
    <s v="Deepak Nair"/>
    <x v="2"/>
    <n v="2"/>
    <s v="B.TECH"/>
    <d v="2023-07-15T00:00:00"/>
    <s v="Active"/>
  </r>
  <r>
    <s v="E005"/>
    <s v="Rajesh Patel"/>
    <x v="0"/>
    <s v="Junior Developer"/>
    <d v="2022-07-05T00:00:00"/>
    <d v="1998-09-17T00:00:00"/>
    <x v="0"/>
    <x v="4"/>
    <x v="1"/>
    <n v="42000"/>
    <n v="0.05"/>
    <n v="3.2"/>
    <x v="4"/>
    <n v="1"/>
    <s v="Amit Verma"/>
    <x v="2"/>
    <n v="2"/>
    <s v="B.TECH"/>
    <d v="2023-07-15T00:00:00"/>
    <s v="Active"/>
  </r>
  <r>
    <s v="E036"/>
    <s v="Sunita Rao"/>
    <x v="1"/>
    <s v="Hr Director"/>
    <d v="2015-04-12T00:00:00"/>
    <d v="1982-01-30T00:00:00"/>
    <x v="1"/>
    <x v="0"/>
    <x v="0"/>
    <n v="120000"/>
    <n v="0.15"/>
    <n v="4.7"/>
    <x v="5"/>
    <n v="6"/>
    <s v="CEO"/>
    <x v="0"/>
    <n v="14"/>
    <s v="MBA"/>
    <d v="2024-01-10T00:00:00"/>
    <s v="Active"/>
  </r>
  <r>
    <s v="E037"/>
    <s v="Alok Mishra"/>
    <x v="4"/>
    <s v="Fleet Manager"/>
    <d v="2016-06-18T00:00:00"/>
    <d v="1983-08-29T00:00:00"/>
    <x v="0"/>
    <x v="8"/>
    <x v="7"/>
    <n v="80000"/>
    <n v="0.11"/>
    <n v="4.2"/>
    <x v="3"/>
    <n v="5"/>
    <s v="Vikram Mehta"/>
    <x v="0"/>
    <n v="11"/>
    <s v="B.E"/>
    <d v="2024-01-10T00:00:00"/>
    <s v="Active"/>
  </r>
  <r>
    <s v="E038"/>
    <s v="Pallavi Reddy"/>
    <x v="0"/>
    <s v="Ui/Ux Designer"/>
    <d v="2021-04-22T00:00:00"/>
    <d v="1995-06-10T00:00:00"/>
    <x v="1"/>
    <x v="3"/>
    <x v="3"/>
    <n v="60000"/>
    <n v="0.08"/>
    <n v="3.8"/>
    <x v="12"/>
    <n v="3"/>
    <s v="Deepak Nair"/>
    <x v="0"/>
    <n v="4"/>
    <s v="B.DES"/>
    <d v="2023-07-15T00:00:00"/>
    <s v="Active"/>
  </r>
  <r>
    <s v="E039"/>
    <s v="Gaurav Khanna"/>
    <x v="2"/>
    <s v="Budget Analyst"/>
    <d v="2023-06-01T00:00:00"/>
    <d v="2000-09-03T00:00:00"/>
    <x v="0"/>
    <x v="0"/>
    <x v="0"/>
    <n v="39000"/>
    <n v="0.04"/>
    <n v="3"/>
    <x v="19"/>
    <n v="1"/>
    <s v="Rajan Mehta"/>
    <x v="2"/>
    <n v="1"/>
    <s v="B.COM"/>
    <d v="2023-07-15T00:00:00"/>
    <s v="Active"/>
  </r>
  <r>
    <s v="E040"/>
    <s v="Mamta Srivastava"/>
    <x v="1"/>
    <s v="Hr Generalist"/>
    <d v="2020-08-10T00:00:00"/>
    <d v="1993-04-14T00:00:00"/>
    <x v="1"/>
    <x v="1"/>
    <x v="1"/>
    <n v="53000"/>
    <n v="7.0000000000000007E-2"/>
    <n v="3.7"/>
    <x v="18"/>
    <n v="3"/>
    <s v="Sunita Rao"/>
    <x v="0"/>
    <n v="5"/>
    <s v="MBA"/>
    <d v="2023-07-15T00:00:00"/>
    <s v="Active"/>
  </r>
  <r>
    <s v="E041"/>
    <s v="Nilesh Tiwari"/>
    <x v="3"/>
    <s v="Market Research Analyst"/>
    <d v="2022-03-07T00:00:00"/>
    <d v="1996-10-28T00:00:00"/>
    <x v="0"/>
    <x v="4"/>
    <x v="1"/>
    <n v="48000"/>
    <n v="0.06"/>
    <n v="3.5"/>
    <x v="2"/>
    <n v="2"/>
    <s v="Pooja Nair"/>
    <x v="0"/>
    <n v="3"/>
    <s v="BBA"/>
    <d v="2023-07-15T00:00:00"/>
    <s v="Active"/>
  </r>
  <r>
    <s v="E042"/>
    <s v="Vandana Kapoor"/>
    <x v="4"/>
    <s v="Quality Control Executive"/>
    <d v="2018-09-25T00:00:00"/>
    <d v="1989-07-16T00:00:00"/>
    <x v="1"/>
    <x v="5"/>
    <x v="4"/>
    <n v="57000"/>
    <n v="0.08"/>
    <n v="3.9"/>
    <x v="14"/>
    <n v="3"/>
    <s v="Vikram Mehta"/>
    <x v="0"/>
    <n v="8"/>
    <s v="B.SC"/>
    <d v="2023-07-15T00:00:00"/>
    <s v="Active"/>
  </r>
  <r>
    <s v="E043"/>
    <s v="Sanjay Bhatt"/>
    <x v="0"/>
    <s v="Devops Engineer"/>
    <d v="2020-06-15T00:00:00"/>
    <d v="1992-03-22T00:00:00"/>
    <x v="0"/>
    <x v="2"/>
    <x v="2"/>
    <n v="78000"/>
    <n v="0.1"/>
    <n v="4.0999999999999996"/>
    <x v="3"/>
    <n v="4"/>
    <s v="Amit Verma"/>
    <x v="0"/>
    <n v="6"/>
    <s v="M.TECH"/>
    <d v="2024-01-10T00:00:00"/>
    <s v="Active"/>
  </r>
  <r>
    <s v="E044"/>
    <s v="Ritu Sharma"/>
    <x v="2"/>
    <s v="Investment Analyst"/>
    <d v="2019-10-28T00:00:00"/>
    <d v="1991-05-17T00:00:00"/>
    <x v="1"/>
    <x v="6"/>
    <x v="5"/>
    <n v="69000"/>
    <n v="0.09"/>
    <n v="3.9"/>
    <x v="14"/>
    <n v="3"/>
    <s v="Rajan Mehta"/>
    <x v="0"/>
    <n v="6"/>
    <s v="MBA"/>
    <d v="2024-01-10T00:00:00"/>
    <s v="Active"/>
  </r>
  <r>
    <s v="E045"/>
    <s v="Jatin Arora"/>
    <x v="1"/>
    <s v="Compensation Analyst"/>
    <d v="2021-07-12T00:00:00"/>
    <d v="1994-12-09T00:00:00"/>
    <x v="0"/>
    <x v="0"/>
    <x v="0"/>
    <n v="51000"/>
    <n v="7.0000000000000007E-2"/>
    <n v="3.6"/>
    <x v="11"/>
    <n v="2"/>
    <s v="Sunita Rao"/>
    <x v="0"/>
    <n v="4"/>
    <s v="MBA"/>
    <d v="2023-07-15T00:00:00"/>
    <s v="Inactive"/>
  </r>
  <r>
    <s v="E046"/>
    <s v="Preeti Gulati"/>
    <x v="3"/>
    <s v="Social Media Manager"/>
    <d v="2022-11-20T00:00:00"/>
    <d v="1998-04-01T00:00:00"/>
    <x v="1"/>
    <x v="7"/>
    <x v="6"/>
    <n v="43000"/>
    <n v="0.05"/>
    <n v="3.3"/>
    <x v="4"/>
    <n v="2"/>
    <s v="Pooja Nair"/>
    <x v="2"/>
    <n v="2"/>
    <s v="BBA"/>
    <d v="2023-07-15T00:00:00"/>
    <s v="Active"/>
  </r>
  <r>
    <s v="E047"/>
    <s v="Devendra Singh"/>
    <x v="4"/>
    <s v="Procurement Manager"/>
    <d v="2017-12-04T00:00:00"/>
    <d v="1984-11-23T00:00:00"/>
    <x v="0"/>
    <x v="3"/>
    <x v="3"/>
    <n v="83000"/>
    <n v="0.11"/>
    <n v="4.3"/>
    <x v="7"/>
    <n v="5"/>
    <s v="Vikram Mehta"/>
    <x v="0"/>
    <n v="10"/>
    <s v="MBA"/>
    <d v="2024-01-10T00:00:00"/>
    <s v="Active"/>
  </r>
  <r>
    <s v="E048"/>
    <s v="Sonia Malhotra"/>
    <x v="0"/>
    <s v="Business Analyst"/>
    <d v="2019-04-09T00:00:00"/>
    <d v="1990-08-06T00:00:00"/>
    <x v="1"/>
    <x v="1"/>
    <x v="1"/>
    <n v="73000"/>
    <n v="0.1"/>
    <n v="4"/>
    <x v="8"/>
    <n v="4"/>
    <s v="Amit Verma"/>
    <x v="0"/>
    <n v="7"/>
    <s v="MBA"/>
    <d v="2024-01-10T00:00:00"/>
    <s v="Active"/>
  </r>
  <r>
    <s v="E049"/>
    <s v="Hemant Chaudhary"/>
    <x v="2"/>
    <s v="Risk Analyst"/>
    <d v="2020-12-14T00:00:00"/>
    <d v="1993-06-19T00:00:00"/>
    <x v="0"/>
    <x v="4"/>
    <x v="1"/>
    <n v="64000"/>
    <n v="0.09"/>
    <n v="3.8"/>
    <x v="18"/>
    <n v="3"/>
    <s v="Rajan Mehta"/>
    <x v="0"/>
    <n v="5"/>
    <s v="MBA"/>
    <d v="2023-07-15T00:00:00"/>
    <s v="Active"/>
  </r>
  <r>
    <s v="E050"/>
    <s v="Babita Verma"/>
    <x v="1"/>
    <s v="Hr Business Partner"/>
    <d v="2016-03-28T00:00:00"/>
    <d v="1985-09-11T00:00:00"/>
    <x v="1"/>
    <x v="2"/>
    <x v="2"/>
    <n v="86000"/>
    <n v="0.12"/>
    <n v="4.3"/>
    <x v="0"/>
    <n v="5"/>
    <s v="Sunita Rao"/>
    <x v="0"/>
    <n v="11"/>
    <s v="MBA"/>
    <d v="2024-01-10T00:00:00"/>
    <s v="Activ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A2A68F-2588-48E1-802D-3D7BA73D94F5}"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C8:D14" firstHeaderRow="1" firstDataRow="1" firstDataCol="1"/>
  <pivotFields count="20">
    <pivotField showAll="0"/>
    <pivotField showAll="0"/>
    <pivotField axis="axisRow" showAll="0">
      <items count="6">
        <item x="2"/>
        <item x="1"/>
        <item x="0"/>
        <item x="3"/>
        <item x="4"/>
        <item t="default"/>
      </items>
    </pivotField>
    <pivotField showAll="0"/>
    <pivotField numFmtId="14" showAll="0"/>
    <pivotField numFmtId="14" showAll="0"/>
    <pivotField showAll="0">
      <items count="3">
        <item x="1"/>
        <item x="0"/>
        <item t="default"/>
      </items>
    </pivotField>
    <pivotField showAll="0"/>
    <pivotField showAll="0">
      <items count="9">
        <item x="0"/>
        <item x="2"/>
        <item x="1"/>
        <item x="6"/>
        <item x="4"/>
        <item x="3"/>
        <item x="7"/>
        <item x="5"/>
        <item t="default"/>
      </items>
    </pivotField>
    <pivotField showAll="0"/>
    <pivotField dataField="1" showAll="0"/>
    <pivotField showAll="0"/>
    <pivotField showAll="0"/>
    <pivotField showAll="0"/>
    <pivotField showAll="0"/>
    <pivotField showAll="0">
      <items count="5">
        <item x="2"/>
        <item x="0"/>
        <item x="1"/>
        <item x="3"/>
        <item t="default"/>
      </items>
    </pivotField>
    <pivotField showAll="0"/>
    <pivotField showAll="0"/>
    <pivotField numFmtId="14" showAll="0"/>
    <pivotField showAll="0"/>
  </pivotFields>
  <rowFields count="1">
    <field x="2"/>
  </rowFields>
  <rowItems count="6">
    <i>
      <x/>
    </i>
    <i>
      <x v="1"/>
    </i>
    <i>
      <x v="2"/>
    </i>
    <i>
      <x v="3"/>
    </i>
    <i>
      <x v="4"/>
    </i>
    <i t="grand">
      <x/>
    </i>
  </rowItems>
  <colItems count="1">
    <i/>
  </colItems>
  <dataFields count="1">
    <dataField name="Sum of Bonus%" fld="10" baseField="0" baseItem="0"/>
  </dataFields>
  <formats count="12">
    <format dxfId="1143">
      <pivotArea type="all" dataOnly="0" outline="0" fieldPosition="0"/>
    </format>
    <format dxfId="1142">
      <pivotArea outline="0" collapsedLevelsAreSubtotals="1" fieldPosition="0"/>
    </format>
    <format dxfId="1141">
      <pivotArea field="2" type="button" dataOnly="0" labelOnly="1" outline="0" axis="axisRow" fieldPosition="0"/>
    </format>
    <format dxfId="1140">
      <pivotArea dataOnly="0" labelOnly="1" fieldPosition="0">
        <references count="1">
          <reference field="2" count="0"/>
        </references>
      </pivotArea>
    </format>
    <format dxfId="1139">
      <pivotArea dataOnly="0" labelOnly="1" grandRow="1" outline="0" fieldPosition="0"/>
    </format>
    <format dxfId="1138">
      <pivotArea dataOnly="0" labelOnly="1" outline="0" fieldPosition="0">
        <references count="1">
          <reference field="4294967294" count="1">
            <x v="0"/>
          </reference>
        </references>
      </pivotArea>
    </format>
    <format dxfId="1137">
      <pivotArea type="all" dataOnly="0" outline="0" fieldPosition="0"/>
    </format>
    <format dxfId="1136">
      <pivotArea outline="0" collapsedLevelsAreSubtotals="1" fieldPosition="0"/>
    </format>
    <format dxfId="1135">
      <pivotArea field="2" type="button" dataOnly="0" labelOnly="1" outline="0" axis="axisRow" fieldPosition="0"/>
    </format>
    <format dxfId="1134">
      <pivotArea dataOnly="0" labelOnly="1" fieldPosition="0">
        <references count="1">
          <reference field="2" count="0"/>
        </references>
      </pivotArea>
    </format>
    <format dxfId="1133">
      <pivotArea dataOnly="0" labelOnly="1" grandRow="1" outline="0" fieldPosition="0"/>
    </format>
    <format dxfId="1132">
      <pivotArea dataOnly="0" labelOnly="1" outline="0" fieldPosition="0">
        <references count="1">
          <reference field="4294967294" count="1">
            <x v="0"/>
          </reference>
        </references>
      </pivotArea>
    </format>
  </formats>
  <chartFormats count="2">
    <chartFormat chart="3" format="1"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11AD40-1489-4AAF-BB4C-A9F0906B3593}"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C4:D9" firstHeaderRow="1" firstDataRow="1" firstDataCol="1"/>
  <pivotFields count="20">
    <pivotField showAll="0"/>
    <pivotField dataField="1" showAll="0"/>
    <pivotField showAll="0">
      <items count="6">
        <item x="2"/>
        <item x="1"/>
        <item x="0"/>
        <item x="3"/>
        <item x="4"/>
        <item t="default"/>
      </items>
    </pivotField>
    <pivotField showAll="0"/>
    <pivotField numFmtId="14" showAll="0"/>
    <pivotField numFmtId="14" showAll="0"/>
    <pivotField showAll="0">
      <items count="3">
        <item x="1"/>
        <item x="0"/>
        <item t="default"/>
      </items>
    </pivotField>
    <pivotField showAll="0"/>
    <pivotField showAll="0">
      <items count="9">
        <item x="0"/>
        <item x="2"/>
        <item x="1"/>
        <item x="6"/>
        <item x="4"/>
        <item x="3"/>
        <item x="7"/>
        <item x="5"/>
        <item t="default"/>
      </items>
    </pivotField>
    <pivotField showAll="0"/>
    <pivotField showAll="0"/>
    <pivotField showAll="0"/>
    <pivotField showAll="0"/>
    <pivotField showAll="0"/>
    <pivotField showAll="0"/>
    <pivotField axis="axisRow" showAll="0">
      <items count="5">
        <item x="2"/>
        <item x="0"/>
        <item x="1"/>
        <item x="3"/>
        <item t="default"/>
      </items>
    </pivotField>
    <pivotField showAll="0"/>
    <pivotField showAll="0"/>
    <pivotField numFmtId="14" showAll="0"/>
    <pivotField showAll="0"/>
  </pivotFields>
  <rowFields count="1">
    <field x="15"/>
  </rowFields>
  <rowItems count="5">
    <i>
      <x/>
    </i>
    <i>
      <x v="1"/>
    </i>
    <i>
      <x v="2"/>
    </i>
    <i>
      <x v="3"/>
    </i>
    <i t="grand">
      <x/>
    </i>
  </rowItems>
  <colItems count="1">
    <i/>
  </colItems>
  <dataFields count="1">
    <dataField name="Count of Employee Name" fld="1" subtotal="count" baseField="0" baseItem="0"/>
  </dataFields>
  <formats count="12">
    <format dxfId="1103">
      <pivotArea type="all" dataOnly="0" outline="0" fieldPosition="0"/>
    </format>
    <format dxfId="1102">
      <pivotArea outline="0" collapsedLevelsAreSubtotals="1" fieldPosition="0"/>
    </format>
    <format dxfId="1101">
      <pivotArea field="15" type="button" dataOnly="0" labelOnly="1" outline="0" axis="axisRow" fieldPosition="0"/>
    </format>
    <format dxfId="1100">
      <pivotArea dataOnly="0" labelOnly="1" fieldPosition="0">
        <references count="1">
          <reference field="15" count="0"/>
        </references>
      </pivotArea>
    </format>
    <format dxfId="1099">
      <pivotArea dataOnly="0" labelOnly="1" grandRow="1" outline="0" fieldPosition="0"/>
    </format>
    <format dxfId="1098">
      <pivotArea dataOnly="0" labelOnly="1" outline="0" axis="axisValues" fieldPosition="0"/>
    </format>
    <format dxfId="1097">
      <pivotArea type="all" dataOnly="0" outline="0" fieldPosition="0"/>
    </format>
    <format dxfId="1096">
      <pivotArea outline="0" collapsedLevelsAreSubtotals="1" fieldPosition="0"/>
    </format>
    <format dxfId="1095">
      <pivotArea field="15" type="button" dataOnly="0" labelOnly="1" outline="0" axis="axisRow" fieldPosition="0"/>
    </format>
    <format dxfId="1094">
      <pivotArea dataOnly="0" labelOnly="1" fieldPosition="0">
        <references count="1">
          <reference field="15" count="0"/>
        </references>
      </pivotArea>
    </format>
    <format dxfId="1093">
      <pivotArea dataOnly="0" labelOnly="1" grandRow="1" outline="0" fieldPosition="0"/>
    </format>
    <format dxfId="109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D91B05-3F26-455A-9E7A-F86FBBB9C066}"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C4:D13" firstHeaderRow="1" firstDataRow="1" firstDataCol="1"/>
  <pivotFields count="20">
    <pivotField showAll="0"/>
    <pivotField showAll="0"/>
    <pivotField showAll="0">
      <items count="6">
        <item x="2"/>
        <item x="1"/>
        <item x="0"/>
        <item x="3"/>
        <item x="4"/>
        <item t="default"/>
      </items>
    </pivotField>
    <pivotField showAll="0"/>
    <pivotField numFmtId="14" showAll="0"/>
    <pivotField numFmtId="14" showAll="0"/>
    <pivotField showAll="0">
      <items count="3">
        <item x="1"/>
        <item x="0"/>
        <item t="default"/>
      </items>
    </pivotField>
    <pivotField showAll="0">
      <items count="10">
        <item x="2"/>
        <item x="5"/>
        <item x="0"/>
        <item x="3"/>
        <item x="7"/>
        <item x="6"/>
        <item x="8"/>
        <item x="1"/>
        <item x="4"/>
        <item t="default"/>
      </items>
    </pivotField>
    <pivotField axis="axisRow" showAll="0">
      <items count="9">
        <item x="0"/>
        <item x="2"/>
        <item x="1"/>
        <item x="6"/>
        <item x="4"/>
        <item x="3"/>
        <item x="7"/>
        <item x="5"/>
        <item t="default"/>
      </items>
    </pivotField>
    <pivotField showAll="0"/>
    <pivotField showAll="0"/>
    <pivotField dataField="1" showAll="0"/>
    <pivotField showAll="0"/>
    <pivotField showAll="0"/>
    <pivotField showAll="0"/>
    <pivotField showAll="0">
      <items count="5">
        <item x="2"/>
        <item x="0"/>
        <item x="1"/>
        <item x="3"/>
        <item t="default"/>
      </items>
    </pivotField>
    <pivotField showAll="0"/>
    <pivotField showAll="0"/>
    <pivotField numFmtId="14" showAll="0"/>
    <pivotField showAll="0"/>
  </pivotFields>
  <rowFields count="1">
    <field x="8"/>
  </rowFields>
  <rowItems count="9">
    <i>
      <x/>
    </i>
    <i>
      <x v="1"/>
    </i>
    <i>
      <x v="2"/>
    </i>
    <i>
      <x v="3"/>
    </i>
    <i>
      <x v="4"/>
    </i>
    <i>
      <x v="5"/>
    </i>
    <i>
      <x v="6"/>
    </i>
    <i>
      <x v="7"/>
    </i>
    <i t="grand">
      <x/>
    </i>
  </rowItems>
  <colItems count="1">
    <i/>
  </colItems>
  <dataFields count="1">
    <dataField name="Max of Performance Rating" fld="11" subtotal="max" baseField="8" baseItem="0"/>
  </dataFields>
  <formats count="12">
    <format dxfId="1131">
      <pivotArea type="all" dataOnly="0" outline="0" fieldPosition="0"/>
    </format>
    <format dxfId="1130">
      <pivotArea outline="0" collapsedLevelsAreSubtotals="1" fieldPosition="0"/>
    </format>
    <format dxfId="1129">
      <pivotArea field="8" type="button" dataOnly="0" labelOnly="1" outline="0" axis="axisRow" fieldPosition="0"/>
    </format>
    <format dxfId="1128">
      <pivotArea dataOnly="0" labelOnly="1" fieldPosition="0">
        <references count="1">
          <reference field="8" count="0"/>
        </references>
      </pivotArea>
    </format>
    <format dxfId="1127">
      <pivotArea dataOnly="0" labelOnly="1" grandRow="1" outline="0" fieldPosition="0"/>
    </format>
    <format dxfId="1126">
      <pivotArea dataOnly="0" labelOnly="1" outline="0" axis="axisValues" fieldPosition="0"/>
    </format>
    <format dxfId="1125">
      <pivotArea type="all" dataOnly="0" outline="0" fieldPosition="0"/>
    </format>
    <format dxfId="1124">
      <pivotArea outline="0" collapsedLevelsAreSubtotals="1" fieldPosition="0"/>
    </format>
    <format dxfId="1123">
      <pivotArea field="8" type="button" dataOnly="0" labelOnly="1" outline="0" axis="axisRow" fieldPosition="0"/>
    </format>
    <format dxfId="1122">
      <pivotArea dataOnly="0" labelOnly="1" fieldPosition="0">
        <references count="1">
          <reference field="8" count="0"/>
        </references>
      </pivotArea>
    </format>
    <format dxfId="1121">
      <pivotArea dataOnly="0" labelOnly="1" grandRow="1" outline="0" fieldPosition="0"/>
    </format>
    <format dxfId="1120">
      <pivotArea dataOnly="0" labelOnly="1" outline="0" axis="axisValues" fieldPosition="0"/>
    </format>
  </formats>
  <chartFormats count="1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4">
      <pivotArea type="data" outline="0" fieldPosition="0">
        <references count="2">
          <reference field="4294967294" count="1" selected="0">
            <x v="0"/>
          </reference>
          <reference field="8" count="1" selected="0">
            <x v="3"/>
          </reference>
        </references>
      </pivotArea>
    </chartFormat>
    <chartFormat chart="0" format="5">
      <pivotArea type="data" outline="0" fieldPosition="0">
        <references count="2">
          <reference field="4294967294" count="1" selected="0">
            <x v="0"/>
          </reference>
          <reference field="8" count="1" selected="0">
            <x v="4"/>
          </reference>
        </references>
      </pivotArea>
    </chartFormat>
    <chartFormat chart="0" format="6">
      <pivotArea type="data" outline="0" fieldPosition="0">
        <references count="2">
          <reference field="4294967294" count="1" selected="0">
            <x v="0"/>
          </reference>
          <reference field="8" count="1" selected="0">
            <x v="5"/>
          </reference>
        </references>
      </pivotArea>
    </chartFormat>
    <chartFormat chart="0" format="7">
      <pivotArea type="data" outline="0" fieldPosition="0">
        <references count="2">
          <reference field="4294967294" count="1" selected="0">
            <x v="0"/>
          </reference>
          <reference field="8" count="1" selected="0">
            <x v="6"/>
          </reference>
        </references>
      </pivotArea>
    </chartFormat>
    <chartFormat chart="0" format="8">
      <pivotArea type="data" outline="0" fieldPosition="0">
        <references count="2">
          <reference field="4294967294" count="1" selected="0">
            <x v="0"/>
          </reference>
          <reference field="8" count="1" selected="0">
            <x v="7"/>
          </reference>
        </references>
      </pivotArea>
    </chartFormat>
    <chartFormat chart="5" format="18"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8" count="1" selected="0">
            <x v="0"/>
          </reference>
        </references>
      </pivotArea>
    </chartFormat>
    <chartFormat chart="5" format="20">
      <pivotArea type="data" outline="0" fieldPosition="0">
        <references count="2">
          <reference field="4294967294" count="1" selected="0">
            <x v="0"/>
          </reference>
          <reference field="8" count="1" selected="0">
            <x v="1"/>
          </reference>
        </references>
      </pivotArea>
    </chartFormat>
    <chartFormat chart="5" format="21">
      <pivotArea type="data" outline="0" fieldPosition="0">
        <references count="2">
          <reference field="4294967294" count="1" selected="0">
            <x v="0"/>
          </reference>
          <reference field="8" count="1" selected="0">
            <x v="2"/>
          </reference>
        </references>
      </pivotArea>
    </chartFormat>
    <chartFormat chart="5" format="22">
      <pivotArea type="data" outline="0" fieldPosition="0">
        <references count="2">
          <reference field="4294967294" count="1" selected="0">
            <x v="0"/>
          </reference>
          <reference field="8" count="1" selected="0">
            <x v="3"/>
          </reference>
        </references>
      </pivotArea>
    </chartFormat>
    <chartFormat chart="5" format="23">
      <pivotArea type="data" outline="0" fieldPosition="0">
        <references count="2">
          <reference field="4294967294" count="1" selected="0">
            <x v="0"/>
          </reference>
          <reference field="8" count="1" selected="0">
            <x v="4"/>
          </reference>
        </references>
      </pivotArea>
    </chartFormat>
    <chartFormat chart="5" format="24">
      <pivotArea type="data" outline="0" fieldPosition="0">
        <references count="2">
          <reference field="4294967294" count="1" selected="0">
            <x v="0"/>
          </reference>
          <reference field="8" count="1" selected="0">
            <x v="5"/>
          </reference>
        </references>
      </pivotArea>
    </chartFormat>
    <chartFormat chart="5" format="25">
      <pivotArea type="data" outline="0" fieldPosition="0">
        <references count="2">
          <reference field="4294967294" count="1" selected="0">
            <x v="0"/>
          </reference>
          <reference field="8" count="1" selected="0">
            <x v="6"/>
          </reference>
        </references>
      </pivotArea>
    </chartFormat>
    <chartFormat chart="5" format="26">
      <pivotArea type="data" outline="0" fieldPosition="0">
        <references count="2">
          <reference field="4294967294" count="1" selected="0">
            <x v="0"/>
          </reference>
          <reference field="8" count="1" selected="0">
            <x v="7"/>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AFFC12-674B-4C9F-91FF-8E1C990EEDB0}"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C4:D35" firstHeaderRow="1" firstDataRow="1" firstDataCol="1"/>
  <pivotFields count="20">
    <pivotField showAll="0"/>
    <pivotField showAll="0"/>
    <pivotField showAll="0">
      <items count="6">
        <item x="2"/>
        <item x="1"/>
        <item x="0"/>
        <item x="3"/>
        <item x="4"/>
        <item t="default"/>
      </items>
    </pivotField>
    <pivotField showAll="0"/>
    <pivotField numFmtId="14" showAll="0"/>
    <pivotField numFmtId="14" showAll="0"/>
    <pivotField axis="axisRow" showAll="0">
      <items count="3">
        <item x="1"/>
        <item x="0"/>
        <item t="default"/>
      </items>
    </pivotField>
    <pivotField showAll="0"/>
    <pivotField showAll="0">
      <items count="9">
        <item x="0"/>
        <item x="2"/>
        <item x="1"/>
        <item x="6"/>
        <item x="4"/>
        <item x="3"/>
        <item x="7"/>
        <item x="5"/>
        <item t="default"/>
      </items>
    </pivotField>
    <pivotField showAll="0"/>
    <pivotField showAll="0"/>
    <pivotField showAll="0"/>
    <pivotField axis="axisRow" showAll="0">
      <items count="21">
        <item x="19"/>
        <item x="13"/>
        <item x="16"/>
        <item x="17"/>
        <item x="4"/>
        <item x="15"/>
        <item x="9"/>
        <item x="2"/>
        <item x="11"/>
        <item x="12"/>
        <item x="18"/>
        <item x="14"/>
        <item x="8"/>
        <item x="3"/>
        <item x="7"/>
        <item x="0"/>
        <item x="6"/>
        <item x="5"/>
        <item x="10"/>
        <item x="1"/>
        <item t="default"/>
      </items>
    </pivotField>
    <pivotField dataField="1" showAll="0"/>
    <pivotField showAll="0"/>
    <pivotField showAll="0">
      <items count="5">
        <item x="2"/>
        <item x="0"/>
        <item x="1"/>
        <item x="3"/>
        <item t="default"/>
      </items>
    </pivotField>
    <pivotField showAll="0"/>
    <pivotField showAll="0"/>
    <pivotField numFmtId="14" showAll="0"/>
    <pivotField showAll="0"/>
  </pivotFields>
  <rowFields count="2">
    <field x="6"/>
    <field x="12"/>
  </rowFields>
  <rowItems count="31">
    <i>
      <x/>
    </i>
    <i r="1">
      <x v="1"/>
    </i>
    <i r="1">
      <x v="2"/>
    </i>
    <i r="1">
      <x v="3"/>
    </i>
    <i r="1">
      <x v="4"/>
    </i>
    <i r="1">
      <x v="5"/>
    </i>
    <i r="1">
      <x v="8"/>
    </i>
    <i r="1">
      <x v="9"/>
    </i>
    <i r="1">
      <x v="10"/>
    </i>
    <i r="1">
      <x v="11"/>
    </i>
    <i r="1">
      <x v="12"/>
    </i>
    <i r="1">
      <x v="13"/>
    </i>
    <i r="1">
      <x v="14"/>
    </i>
    <i r="1">
      <x v="15"/>
    </i>
    <i r="1">
      <x v="17"/>
    </i>
    <i r="1">
      <x v="18"/>
    </i>
    <i r="1">
      <x v="19"/>
    </i>
    <i>
      <x v="1"/>
    </i>
    <i r="1">
      <x/>
    </i>
    <i r="1">
      <x v="3"/>
    </i>
    <i r="1">
      <x v="4"/>
    </i>
    <i r="1">
      <x v="6"/>
    </i>
    <i r="1">
      <x v="7"/>
    </i>
    <i r="1">
      <x v="8"/>
    </i>
    <i r="1">
      <x v="10"/>
    </i>
    <i r="1">
      <x v="12"/>
    </i>
    <i r="1">
      <x v="13"/>
    </i>
    <i r="1">
      <x v="14"/>
    </i>
    <i r="1">
      <x v="15"/>
    </i>
    <i r="1">
      <x v="16"/>
    </i>
    <i t="grand">
      <x/>
    </i>
  </rowItems>
  <colItems count="1">
    <i/>
  </colItems>
  <dataFields count="1">
    <dataField name="Count of Project Count" fld="13" subtotal="count" baseField="6" baseItem="0"/>
  </dataFields>
  <formats count="16">
    <format dxfId="1119">
      <pivotArea type="all" dataOnly="0" outline="0" fieldPosition="0"/>
    </format>
    <format dxfId="1118">
      <pivotArea outline="0" collapsedLevelsAreSubtotals="1" fieldPosition="0"/>
    </format>
    <format dxfId="1117">
      <pivotArea field="6" type="button" dataOnly="0" labelOnly="1" outline="0" axis="axisRow" fieldPosition="0"/>
    </format>
    <format dxfId="1116">
      <pivotArea dataOnly="0" labelOnly="1" fieldPosition="0">
        <references count="1">
          <reference field="6" count="0"/>
        </references>
      </pivotArea>
    </format>
    <format dxfId="1115">
      <pivotArea dataOnly="0" labelOnly="1" grandRow="1" outline="0" fieldPosition="0"/>
    </format>
    <format dxfId="1114">
      <pivotArea dataOnly="0" labelOnly="1" fieldPosition="0">
        <references count="2">
          <reference field="6" count="1" selected="0">
            <x v="0"/>
          </reference>
          <reference field="12" count="16">
            <x v="1"/>
            <x v="2"/>
            <x v="3"/>
            <x v="4"/>
            <x v="5"/>
            <x v="8"/>
            <x v="9"/>
            <x v="10"/>
            <x v="11"/>
            <x v="12"/>
            <x v="13"/>
            <x v="14"/>
            <x v="15"/>
            <x v="17"/>
            <x v="18"/>
            <x v="19"/>
          </reference>
        </references>
      </pivotArea>
    </format>
    <format dxfId="1113">
      <pivotArea dataOnly="0" labelOnly="1" fieldPosition="0">
        <references count="2">
          <reference field="6" count="1" selected="0">
            <x v="1"/>
          </reference>
          <reference field="12" count="12">
            <x v="0"/>
            <x v="3"/>
            <x v="4"/>
            <x v="6"/>
            <x v="7"/>
            <x v="8"/>
            <x v="10"/>
            <x v="12"/>
            <x v="13"/>
            <x v="14"/>
            <x v="15"/>
            <x v="16"/>
          </reference>
        </references>
      </pivotArea>
    </format>
    <format dxfId="1112">
      <pivotArea dataOnly="0" labelOnly="1" outline="0" axis="axisValues" fieldPosition="0"/>
    </format>
    <format dxfId="1111">
      <pivotArea type="all" dataOnly="0" outline="0" fieldPosition="0"/>
    </format>
    <format dxfId="1110">
      <pivotArea outline="0" collapsedLevelsAreSubtotals="1" fieldPosition="0"/>
    </format>
    <format dxfId="1109">
      <pivotArea field="6" type="button" dataOnly="0" labelOnly="1" outline="0" axis="axisRow" fieldPosition="0"/>
    </format>
    <format dxfId="1108">
      <pivotArea dataOnly="0" labelOnly="1" fieldPosition="0">
        <references count="1">
          <reference field="6" count="0"/>
        </references>
      </pivotArea>
    </format>
    <format dxfId="1107">
      <pivotArea dataOnly="0" labelOnly="1" grandRow="1" outline="0" fieldPosition="0"/>
    </format>
    <format dxfId="1106">
      <pivotArea dataOnly="0" labelOnly="1" fieldPosition="0">
        <references count="2">
          <reference field="6" count="1" selected="0">
            <x v="0"/>
          </reference>
          <reference field="12" count="16">
            <x v="1"/>
            <x v="2"/>
            <x v="3"/>
            <x v="4"/>
            <x v="5"/>
            <x v="8"/>
            <x v="9"/>
            <x v="10"/>
            <x v="11"/>
            <x v="12"/>
            <x v="13"/>
            <x v="14"/>
            <x v="15"/>
            <x v="17"/>
            <x v="18"/>
            <x v="19"/>
          </reference>
        </references>
      </pivotArea>
    </format>
    <format dxfId="1105">
      <pivotArea dataOnly="0" labelOnly="1" fieldPosition="0">
        <references count="2">
          <reference field="6" count="1" selected="0">
            <x v="1"/>
          </reference>
          <reference field="12" count="12">
            <x v="0"/>
            <x v="3"/>
            <x v="4"/>
            <x v="6"/>
            <x v="7"/>
            <x v="8"/>
            <x v="10"/>
            <x v="12"/>
            <x v="13"/>
            <x v="14"/>
            <x v="15"/>
            <x v="16"/>
          </reference>
        </references>
      </pivotArea>
    </format>
    <format dxfId="110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C54DC90-E85B-4B13-BB70-2A5EEE310BDB}" autoFormatId="16" applyNumberFormats="0" applyBorderFormats="0" applyFontFormats="0" applyPatternFormats="0" applyAlignmentFormats="0" applyWidthHeightFormats="0">
  <queryTableRefresh nextId="21">
    <queryTableFields count="20">
      <queryTableField id="1" name="Emp ID" tableColumnId="1"/>
      <queryTableField id="2" name="Employee Name" tableColumnId="2"/>
      <queryTableField id="3" name="DEPARTMENT" tableColumnId="3"/>
      <queryTableField id="4" name="Designation" tableColumnId="4"/>
      <queryTableField id="5" name="Join Date" tableColumnId="5"/>
      <queryTableField id="6" name="Date of Birth" tableColumnId="6"/>
      <queryTableField id="7" name="Gender" tableColumnId="7"/>
      <queryTableField id="8" name="City" tableColumnId="8"/>
      <queryTableField id="9" name="State" tableColumnId="9"/>
      <queryTableField id="10" name="Salary (Monthly)" tableColumnId="10"/>
      <queryTableField id="11" name="Bonus%" tableColumnId="11"/>
      <queryTableField id="12" name="Performance Rating" tableColumnId="12"/>
      <queryTableField id="13" name="Attendance %" tableColumnId="13"/>
      <queryTableField id="14" name="Project Count" tableColumnId="14"/>
      <queryTableField id="15" name="Manager Name" tableColumnId="15"/>
      <queryTableField id="16" name="Employment Type" tableColumnId="16"/>
      <queryTableField id="17" name="Experience (Yrs)" tableColumnId="17"/>
      <queryTableField id="18" name="Education" tableColumnId="18"/>
      <queryTableField id="19" name="Last Appraisal" tableColumnId="19"/>
      <queryTableField id="20" name="Status"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3B98219-1D10-4A5C-8CB3-946B250D860F}" sourceName="DEPARTMENT">
  <pivotTables>
    <pivotTable tabId="4" name="PivotTable2"/>
    <pivotTable tabId="6" name="PivotTable5"/>
    <pivotTable tabId="3" name="PivotTable1"/>
    <pivotTable tabId="5" name="PivotTable3"/>
  </pivotTables>
  <data>
    <tabular pivotCacheId="658539855">
      <items count="5">
        <i x="2" s="1"/>
        <i x="1" s="1"/>
        <i x="0"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A28185B-7018-476C-989A-2578B252546D}" sourceName="Gender">
  <pivotTables>
    <pivotTable tabId="4" name="PivotTable2"/>
    <pivotTable tabId="6" name="PivotTable5"/>
    <pivotTable tabId="3" name="PivotTable1"/>
    <pivotTable tabId="5" name="PivotTable3"/>
  </pivotTables>
  <data>
    <tabular pivotCacheId="658539855">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8D78F0FA-7E31-432F-B939-74B17B5EE82F}" sourceName="State">
  <pivotTables>
    <pivotTable tabId="4" name="PivotTable2"/>
    <pivotTable tabId="6" name="PivotTable5"/>
    <pivotTable tabId="3" name="PivotTable1"/>
    <pivotTable tabId="5" name="PivotTable3"/>
  </pivotTables>
  <data>
    <tabular pivotCacheId="658539855">
      <items count="8">
        <i x="0" s="1"/>
        <i x="2" s="1"/>
        <i x="1" s="1"/>
        <i x="6" s="1"/>
        <i x="4" s="1"/>
        <i x="3" s="1"/>
        <i x="7"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Type" xr10:uid="{3063C7A8-8422-4C3D-804E-67E4233BCBA5}" sourceName="Employment Type">
  <pivotTables>
    <pivotTable tabId="4" name="PivotTable2"/>
    <pivotTable tabId="6" name="PivotTable5"/>
    <pivotTable tabId="3" name="PivotTable1"/>
    <pivotTable tabId="5" name="PivotTable3"/>
  </pivotTables>
  <data>
    <tabular pivotCacheId="658539855">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23B8CF2-8E5D-4D4D-A6FF-27692B032896}" cache="Slicer_DEPARTMENT" caption="DEPARTMENT" style="SlicerStyleOther1" rowHeight="241300"/>
  <slicer name="Gender" xr10:uid="{CF090CA1-A740-4459-A5CF-F9C0947F73C3}" cache="Slicer_Gender" caption="Gender" style="SlicerStyleLight4" rowHeight="241300"/>
  <slicer name="State" xr10:uid="{C49900E5-A5EF-43F5-8C56-4F582ACE7349}" cache="Slicer_State" caption="State" style="SlicerStyleOther1" rowHeight="241300"/>
  <slicer name="Employment Type" xr10:uid="{EC468F01-59AD-4ED2-BA58-7CB46ED0F921}" cache="Slicer_Employment_Type" caption="Employment Type" style="SlicerStyleLight4"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BB9270F-CC37-4B9C-A815-AA408E569AA9}" name="Employee_Raw_Data" displayName="Employee_Raw_Data" ref="A1:T49" tableType="queryTable" totalsRowShown="0" headerRowDxfId="1165" dataDxfId="1164">
  <autoFilter ref="A1:T49" xr:uid="{8BB9270F-CC37-4B9C-A815-AA408E569AA9}"/>
  <tableColumns count="20">
    <tableColumn id="1" xr3:uid="{B73524C2-C931-46F6-A0B5-B964DF8D4D18}" uniqueName="1" name="Emp ID" queryTableFieldId="1" dataDxfId="1163"/>
    <tableColumn id="2" xr3:uid="{D5FB24DC-F8D8-42F2-8091-64BEEAE7511C}" uniqueName="2" name="Employee Name" queryTableFieldId="2" dataDxfId="1162"/>
    <tableColumn id="3" xr3:uid="{D877EFF3-BF8D-4542-B202-E76167F80A8E}" uniqueName="3" name="DEPARTMENT" queryTableFieldId="3" dataDxfId="1161"/>
    <tableColumn id="4" xr3:uid="{F9551545-8E18-4D51-8522-254077A2F024}" uniqueName="4" name="Designation" queryTableFieldId="4" dataDxfId="1160"/>
    <tableColumn id="5" xr3:uid="{8C7B0FD4-8DD5-40A6-81F0-B1B751B62D0C}" uniqueName="5" name="Join Date" queryTableFieldId="5" dataDxfId="1159"/>
    <tableColumn id="6" xr3:uid="{731F9250-A496-4F7A-84EA-8BB3425CF5D8}" uniqueName="6" name="Date of Birth" queryTableFieldId="6" dataDxfId="1158"/>
    <tableColumn id="7" xr3:uid="{4F53B656-0EA4-4D5A-8727-AC43740E05B9}" uniqueName="7" name="Gender" queryTableFieldId="7" dataDxfId="1157"/>
    <tableColumn id="8" xr3:uid="{0F68C56C-F560-435C-BB89-F67736AF9536}" uniqueName="8" name="City" queryTableFieldId="8" dataDxfId="1156"/>
    <tableColumn id="9" xr3:uid="{765A8EF0-BD8A-43D8-B883-8BFF90678682}" uniqueName="9" name="State" queryTableFieldId="9" dataDxfId="1155"/>
    <tableColumn id="10" xr3:uid="{FF41DFB2-4864-4C5A-AD65-06F8C81B9B1A}" uniqueName="10" name="Salary (Monthly)" queryTableFieldId="10" dataDxfId="1154"/>
    <tableColumn id="11" xr3:uid="{1A8F3E4B-0EF0-4DBD-961F-7AE83A1A6EA1}" uniqueName="11" name="Bonus%" queryTableFieldId="11" dataDxfId="1153"/>
    <tableColumn id="12" xr3:uid="{73A6B3AA-57BA-42CF-9337-0CA5C2A4837E}" uniqueName="12" name="Performance Rating" queryTableFieldId="12" dataDxfId="1152"/>
    <tableColumn id="13" xr3:uid="{B1AD427D-CFE7-4792-9DFA-92D8DFBC7D00}" uniqueName="13" name="Attendance %" queryTableFieldId="13" dataDxfId="1151"/>
    <tableColumn id="14" xr3:uid="{4EFCD007-80DF-4505-8261-1DCB7F5C7305}" uniqueName="14" name="Project Count" queryTableFieldId="14" dataDxfId="1150"/>
    <tableColumn id="15" xr3:uid="{4BA57E67-EE6B-4EB0-8EF1-23B4B0B258D6}" uniqueName="15" name="Manager Name" queryTableFieldId="15" dataDxfId="1149"/>
    <tableColumn id="16" xr3:uid="{39712B28-074D-4528-B295-8AFEA36F0076}" uniqueName="16" name="Employment Type" queryTableFieldId="16" dataDxfId="1148"/>
    <tableColumn id="17" xr3:uid="{97DC88DE-AE8D-4B17-A391-11E82594D319}" uniqueName="17" name="Experience (Yrs)" queryTableFieldId="17" dataDxfId="1147"/>
    <tableColumn id="18" xr3:uid="{FCD23F82-A0B6-45F8-B815-97FEE0FB453F}" uniqueName="18" name="Education" queryTableFieldId="18" dataDxfId="1146"/>
    <tableColumn id="19" xr3:uid="{AF5C07E7-2079-4DFE-A9C5-DD0559CE2477}" uniqueName="19" name="Last Appraisal" queryTableFieldId="19" dataDxfId="1145"/>
    <tableColumn id="20" xr3:uid="{A2F82EBF-34E5-45BC-A655-62F9542E5D8F}" uniqueName="20" name="Status" queryTableFieldId="20" dataDxfId="1144"/>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3"/>
  <sheetViews>
    <sheetView workbookViewId="0">
      <selection activeCell="A2" sqref="A2"/>
    </sheetView>
  </sheetViews>
  <sheetFormatPr defaultRowHeight="15" x14ac:dyDescent="0.25"/>
  <cols>
    <col min="1" max="1" width="8" customWidth="1"/>
    <col min="2" max="2" width="22" customWidth="1"/>
    <col min="3" max="3" width="14" customWidth="1"/>
    <col min="4" max="4" width="24" customWidth="1"/>
    <col min="5" max="5" width="13" customWidth="1"/>
    <col min="6" max="6" width="14" customWidth="1"/>
    <col min="7" max="7" width="8" customWidth="1"/>
    <col min="8" max="8" width="14" customWidth="1"/>
    <col min="9" max="9" width="16" customWidth="1"/>
    <col min="10" max="10" width="18" customWidth="1"/>
    <col min="11" max="11" width="9" customWidth="1"/>
    <col min="12" max="12" width="18" customWidth="1"/>
    <col min="13" max="13" width="13" customWidth="1"/>
    <col min="14" max="14" width="14" customWidth="1"/>
    <col min="15" max="15" width="18" customWidth="1"/>
    <col min="16" max="16" width="16" customWidth="1"/>
    <col min="17" max="17" width="17" customWidth="1"/>
    <col min="18" max="18" width="12" customWidth="1"/>
    <col min="19" max="19" width="14" customWidth="1"/>
    <col min="20" max="20" width="10" customWidth="1"/>
  </cols>
  <sheetData>
    <row r="1" spans="1:20" ht="21.95" customHeight="1" x14ac:dyDescent="0.25">
      <c r="A1" s="7" t="s">
        <v>0</v>
      </c>
      <c r="B1" s="8"/>
      <c r="C1" s="8"/>
      <c r="D1" s="8"/>
      <c r="E1" s="8"/>
      <c r="F1" s="8"/>
      <c r="G1" s="8"/>
      <c r="H1" s="8"/>
      <c r="I1" s="8"/>
      <c r="J1" s="8"/>
      <c r="K1" s="8"/>
      <c r="L1" s="8"/>
      <c r="M1" s="8"/>
      <c r="N1" s="8"/>
      <c r="O1" s="8"/>
      <c r="P1" s="8"/>
      <c r="Q1" s="8"/>
      <c r="R1" s="8"/>
      <c r="S1" s="8"/>
      <c r="T1" s="8"/>
    </row>
    <row r="2" spans="1:20" x14ac:dyDescent="0.25">
      <c r="A2" s="1" t="s">
        <v>1</v>
      </c>
      <c r="B2" s="1" t="s">
        <v>2</v>
      </c>
      <c r="C2" s="1" t="s">
        <v>3</v>
      </c>
      <c r="D2" s="1" t="s">
        <v>4</v>
      </c>
      <c r="E2" s="1" t="s">
        <v>5</v>
      </c>
      <c r="F2" s="1" t="s">
        <v>6</v>
      </c>
      <c r="G2" s="1" t="s">
        <v>7</v>
      </c>
      <c r="H2" s="1" t="s">
        <v>8</v>
      </c>
      <c r="I2" s="1" t="s">
        <v>9</v>
      </c>
      <c r="J2" s="1" t="s">
        <v>10</v>
      </c>
      <c r="K2" s="1" t="s">
        <v>11</v>
      </c>
      <c r="L2" s="1" t="s">
        <v>12</v>
      </c>
      <c r="M2" s="1" t="s">
        <v>13</v>
      </c>
      <c r="N2" s="1" t="s">
        <v>14</v>
      </c>
      <c r="O2" s="1" t="s">
        <v>15</v>
      </c>
      <c r="P2" s="1" t="s">
        <v>16</v>
      </c>
      <c r="Q2" s="1" t="s">
        <v>17</v>
      </c>
      <c r="R2" s="1" t="s">
        <v>18</v>
      </c>
      <c r="S2" s="1" t="s">
        <v>19</v>
      </c>
      <c r="T2" s="1" t="s">
        <v>20</v>
      </c>
    </row>
    <row r="3" spans="1:20" x14ac:dyDescent="0.25">
      <c r="A3" s="2" t="s">
        <v>21</v>
      </c>
      <c r="B3" s="2" t="s">
        <v>22</v>
      </c>
      <c r="C3" s="2" t="s">
        <v>23</v>
      </c>
      <c r="D3" s="2" t="s">
        <v>24</v>
      </c>
      <c r="E3" s="2" t="s">
        <v>25</v>
      </c>
      <c r="F3" s="2" t="s">
        <v>26</v>
      </c>
      <c r="G3" s="2" t="s">
        <v>27</v>
      </c>
      <c r="H3" s="2" t="s">
        <v>28</v>
      </c>
      <c r="I3" s="2" t="s">
        <v>28</v>
      </c>
      <c r="J3" s="2" t="s">
        <v>29</v>
      </c>
      <c r="K3" s="2" t="s">
        <v>30</v>
      </c>
      <c r="L3" s="2" t="s">
        <v>31</v>
      </c>
      <c r="M3" s="2" t="s">
        <v>32</v>
      </c>
      <c r="N3" s="2" t="s">
        <v>33</v>
      </c>
      <c r="O3" s="2" t="s">
        <v>34</v>
      </c>
      <c r="P3" s="2" t="s">
        <v>35</v>
      </c>
      <c r="Q3" s="2" t="s">
        <v>36</v>
      </c>
      <c r="R3" s="2" t="s">
        <v>37</v>
      </c>
      <c r="S3" s="2" t="s">
        <v>38</v>
      </c>
      <c r="T3" s="2" t="s">
        <v>39</v>
      </c>
    </row>
    <row r="4" spans="1:20" x14ac:dyDescent="0.25">
      <c r="A4" s="3" t="s">
        <v>40</v>
      </c>
      <c r="B4" s="3" t="s">
        <v>41</v>
      </c>
      <c r="C4" s="3" t="s">
        <v>42</v>
      </c>
      <c r="D4" s="3" t="s">
        <v>43</v>
      </c>
      <c r="E4" s="3" t="s">
        <v>44</v>
      </c>
      <c r="F4" s="3" t="s">
        <v>45</v>
      </c>
      <c r="G4" s="3" t="s">
        <v>46</v>
      </c>
      <c r="H4" s="3" t="s">
        <v>47</v>
      </c>
      <c r="I4" s="3" t="s">
        <v>48</v>
      </c>
      <c r="J4" s="3" t="s">
        <v>49</v>
      </c>
      <c r="K4" s="3" t="s">
        <v>50</v>
      </c>
      <c r="L4" s="3" t="s">
        <v>51</v>
      </c>
      <c r="M4" s="3" t="s">
        <v>52</v>
      </c>
      <c r="N4" s="3" t="s">
        <v>53</v>
      </c>
      <c r="O4" s="3" t="s">
        <v>54</v>
      </c>
      <c r="P4" s="3" t="s">
        <v>35</v>
      </c>
      <c r="Q4" s="3" t="s">
        <v>55</v>
      </c>
      <c r="R4" s="3" t="s">
        <v>56</v>
      </c>
      <c r="S4" s="3" t="s">
        <v>38</v>
      </c>
      <c r="T4" s="3" t="s">
        <v>57</v>
      </c>
    </row>
    <row r="5" spans="1:20" x14ac:dyDescent="0.25">
      <c r="A5" s="2" t="s">
        <v>58</v>
      </c>
      <c r="B5" s="2" t="s">
        <v>59</v>
      </c>
      <c r="C5" s="2" t="s">
        <v>60</v>
      </c>
      <c r="D5" s="2" t="s">
        <v>61</v>
      </c>
      <c r="E5" s="2" t="s">
        <v>62</v>
      </c>
      <c r="F5" s="2" t="s">
        <v>63</v>
      </c>
      <c r="G5" s="2" t="s">
        <v>27</v>
      </c>
      <c r="H5" s="2" t="s">
        <v>64</v>
      </c>
      <c r="I5" s="2" t="s">
        <v>65</v>
      </c>
      <c r="J5" s="2" t="s">
        <v>66</v>
      </c>
      <c r="K5" s="2" t="s">
        <v>67</v>
      </c>
      <c r="L5" s="2" t="s">
        <v>68</v>
      </c>
      <c r="M5" s="2" t="s">
        <v>69</v>
      </c>
      <c r="N5" s="2" t="s">
        <v>70</v>
      </c>
      <c r="O5" s="2" t="s">
        <v>71</v>
      </c>
      <c r="P5" s="2" t="s">
        <v>72</v>
      </c>
      <c r="Q5" s="2" t="s">
        <v>73</v>
      </c>
      <c r="R5" s="2" t="s">
        <v>74</v>
      </c>
      <c r="S5" s="2" t="s">
        <v>75</v>
      </c>
      <c r="T5" s="2" t="s">
        <v>76</v>
      </c>
    </row>
    <row r="6" spans="1:20" x14ac:dyDescent="0.25">
      <c r="A6" s="3" t="s">
        <v>77</v>
      </c>
      <c r="B6" s="3" t="s">
        <v>78</v>
      </c>
      <c r="C6" s="3" t="s">
        <v>79</v>
      </c>
      <c r="D6" s="3" t="s">
        <v>80</v>
      </c>
      <c r="E6" s="3" t="s">
        <v>81</v>
      </c>
      <c r="F6" s="3" t="s">
        <v>82</v>
      </c>
      <c r="G6" s="3" t="s">
        <v>83</v>
      </c>
      <c r="H6" s="3" t="s">
        <v>84</v>
      </c>
      <c r="I6" s="3" t="s">
        <v>85</v>
      </c>
      <c r="J6" s="3" t="s">
        <v>86</v>
      </c>
      <c r="K6" s="3" t="s">
        <v>87</v>
      </c>
      <c r="L6" s="3" t="s">
        <v>88</v>
      </c>
      <c r="M6" s="3" t="s">
        <v>89</v>
      </c>
      <c r="N6" s="3" t="s">
        <v>73</v>
      </c>
      <c r="O6" s="3" t="s">
        <v>90</v>
      </c>
      <c r="P6" s="3" t="s">
        <v>35</v>
      </c>
      <c r="Q6" s="3" t="s">
        <v>33</v>
      </c>
      <c r="R6" s="3" t="s">
        <v>91</v>
      </c>
      <c r="S6" s="3" t="s">
        <v>38</v>
      </c>
      <c r="T6" s="3" t="s">
        <v>39</v>
      </c>
    </row>
    <row r="7" spans="1:20" x14ac:dyDescent="0.25">
      <c r="A7" s="2" t="s">
        <v>92</v>
      </c>
      <c r="B7" s="2" t="s">
        <v>93</v>
      </c>
      <c r="C7" s="2" t="s">
        <v>23</v>
      </c>
      <c r="D7" s="2" t="s">
        <v>94</v>
      </c>
      <c r="E7" s="2" t="s">
        <v>95</v>
      </c>
      <c r="F7" s="2" t="s">
        <v>96</v>
      </c>
      <c r="G7" s="2" t="s">
        <v>27</v>
      </c>
      <c r="H7" s="2" t="s">
        <v>97</v>
      </c>
      <c r="I7" s="2" t="s">
        <v>48</v>
      </c>
      <c r="J7" s="2" t="s">
        <v>98</v>
      </c>
      <c r="K7" s="2" t="s">
        <v>99</v>
      </c>
      <c r="L7" s="2" t="s">
        <v>100</v>
      </c>
      <c r="M7" s="2" t="s">
        <v>101</v>
      </c>
      <c r="N7" s="2" t="s">
        <v>102</v>
      </c>
      <c r="O7" s="2" t="s">
        <v>34</v>
      </c>
      <c r="P7" s="2" t="s">
        <v>103</v>
      </c>
      <c r="Q7" s="2" t="s">
        <v>70</v>
      </c>
      <c r="R7" s="2" t="s">
        <v>37</v>
      </c>
      <c r="S7" s="2" t="s">
        <v>75</v>
      </c>
      <c r="T7" s="2" t="s">
        <v>39</v>
      </c>
    </row>
    <row r="8" spans="1:20" x14ac:dyDescent="0.25">
      <c r="A8" s="3" t="s">
        <v>104</v>
      </c>
      <c r="B8" s="3" t="s">
        <v>54</v>
      </c>
      <c r="C8" s="3" t="s">
        <v>42</v>
      </c>
      <c r="D8" s="3" t="s">
        <v>105</v>
      </c>
      <c r="E8" s="3" t="s">
        <v>106</v>
      </c>
      <c r="F8" s="3" t="s">
        <v>107</v>
      </c>
      <c r="G8" s="3" t="s">
        <v>83</v>
      </c>
      <c r="H8" s="3" t="s">
        <v>28</v>
      </c>
      <c r="I8" s="3" t="s">
        <v>28</v>
      </c>
      <c r="J8" s="3" t="s">
        <v>108</v>
      </c>
      <c r="K8" s="3" t="s">
        <v>109</v>
      </c>
      <c r="L8" s="3" t="s">
        <v>110</v>
      </c>
      <c r="M8" s="3" t="s">
        <v>111</v>
      </c>
      <c r="N8" s="3" t="s">
        <v>36</v>
      </c>
      <c r="O8" s="3" t="s">
        <v>112</v>
      </c>
      <c r="P8" s="3" t="s">
        <v>35</v>
      </c>
      <c r="Q8" s="3" t="s">
        <v>113</v>
      </c>
      <c r="R8" s="3" t="s">
        <v>56</v>
      </c>
      <c r="S8" s="3" t="s">
        <v>38</v>
      </c>
      <c r="T8" s="3" t="s">
        <v>39</v>
      </c>
    </row>
    <row r="9" spans="1:20" x14ac:dyDescent="0.25">
      <c r="A9" s="2" t="s">
        <v>114</v>
      </c>
      <c r="B9" s="2" t="s">
        <v>115</v>
      </c>
      <c r="C9" s="2" t="s">
        <v>116</v>
      </c>
      <c r="D9" s="2" t="s">
        <v>117</v>
      </c>
      <c r="E9" s="2" t="s">
        <v>118</v>
      </c>
      <c r="F9" s="2" t="s">
        <v>119</v>
      </c>
      <c r="G9" s="2" t="s">
        <v>120</v>
      </c>
      <c r="H9" s="2" t="s">
        <v>121</v>
      </c>
      <c r="I9" s="2" t="s">
        <v>122</v>
      </c>
      <c r="J9" s="2" t="s">
        <v>123</v>
      </c>
      <c r="K9" s="2" t="s">
        <v>124</v>
      </c>
      <c r="L9" s="2" t="s">
        <v>125</v>
      </c>
      <c r="M9" s="2" t="s">
        <v>126</v>
      </c>
      <c r="N9" s="2" t="s">
        <v>127</v>
      </c>
      <c r="O9" s="2" t="s">
        <v>112</v>
      </c>
      <c r="P9" s="2" t="s">
        <v>35</v>
      </c>
      <c r="Q9" s="2" t="s">
        <v>128</v>
      </c>
      <c r="R9" s="2" t="s">
        <v>56</v>
      </c>
      <c r="S9" s="2" t="s">
        <v>38</v>
      </c>
      <c r="T9" s="2" t="s">
        <v>39</v>
      </c>
    </row>
    <row r="10" spans="1:20" x14ac:dyDescent="0.25">
      <c r="A10" s="3" t="s">
        <v>129</v>
      </c>
      <c r="B10" s="3" t="s">
        <v>130</v>
      </c>
      <c r="C10" s="3" t="s">
        <v>60</v>
      </c>
      <c r="D10" s="3" t="s">
        <v>131</v>
      </c>
      <c r="E10" s="3" t="s">
        <v>132</v>
      </c>
      <c r="F10" s="3" t="s">
        <v>133</v>
      </c>
      <c r="G10" s="3" t="s">
        <v>83</v>
      </c>
      <c r="H10" s="3" t="s">
        <v>134</v>
      </c>
      <c r="I10" s="3" t="s">
        <v>135</v>
      </c>
      <c r="J10" s="3" t="s">
        <v>136</v>
      </c>
      <c r="K10" s="3" t="s">
        <v>137</v>
      </c>
      <c r="L10" s="3" t="s">
        <v>138</v>
      </c>
      <c r="M10" s="3" t="s">
        <v>139</v>
      </c>
      <c r="N10" s="3" t="s">
        <v>33</v>
      </c>
      <c r="O10" s="3" t="s">
        <v>71</v>
      </c>
      <c r="P10" s="3" t="s">
        <v>35</v>
      </c>
      <c r="Q10" s="3" t="s">
        <v>50</v>
      </c>
      <c r="R10" s="3" t="s">
        <v>140</v>
      </c>
      <c r="S10" s="3" t="s">
        <v>38</v>
      </c>
      <c r="T10" s="3" t="s">
        <v>39</v>
      </c>
    </row>
    <row r="11" spans="1:20" x14ac:dyDescent="0.25">
      <c r="A11" s="2" t="s">
        <v>141</v>
      </c>
      <c r="B11" s="2" t="s">
        <v>142</v>
      </c>
      <c r="C11" s="2" t="s">
        <v>23</v>
      </c>
      <c r="D11" s="2" t="s">
        <v>143</v>
      </c>
      <c r="E11" s="2" t="s">
        <v>144</v>
      </c>
      <c r="F11" s="2" t="s">
        <v>145</v>
      </c>
      <c r="G11" s="2" t="s">
        <v>27</v>
      </c>
      <c r="H11" s="2" t="s">
        <v>64</v>
      </c>
      <c r="I11" s="2" t="s">
        <v>65</v>
      </c>
      <c r="J11" s="2" t="s">
        <v>146</v>
      </c>
      <c r="K11" s="2" t="s">
        <v>30</v>
      </c>
      <c r="L11" s="2" t="s">
        <v>147</v>
      </c>
      <c r="M11" s="2" t="s">
        <v>32</v>
      </c>
      <c r="N11" s="2" t="s">
        <v>36</v>
      </c>
      <c r="O11" s="2" t="s">
        <v>34</v>
      </c>
      <c r="P11" s="2" t="s">
        <v>148</v>
      </c>
      <c r="Q11" s="2" t="s">
        <v>127</v>
      </c>
      <c r="R11" s="2" t="s">
        <v>149</v>
      </c>
      <c r="S11" s="2" t="s">
        <v>38</v>
      </c>
      <c r="T11" s="2" t="s">
        <v>39</v>
      </c>
    </row>
    <row r="12" spans="1:20" x14ac:dyDescent="0.25">
      <c r="A12" s="3" t="s">
        <v>150</v>
      </c>
      <c r="B12" s="3" t="s">
        <v>151</v>
      </c>
      <c r="C12" s="3" t="s">
        <v>79</v>
      </c>
      <c r="D12" s="3" t="s">
        <v>152</v>
      </c>
      <c r="E12" s="3" t="s">
        <v>153</v>
      </c>
      <c r="F12" s="3" t="s">
        <v>154</v>
      </c>
      <c r="G12" s="3" t="s">
        <v>83</v>
      </c>
      <c r="H12" s="3" t="s">
        <v>28</v>
      </c>
      <c r="I12" s="3" t="s">
        <v>28</v>
      </c>
      <c r="J12" s="3" t="s">
        <v>155</v>
      </c>
      <c r="K12" s="3" t="s">
        <v>156</v>
      </c>
      <c r="L12" s="3" t="s">
        <v>157</v>
      </c>
      <c r="M12" s="3" t="s">
        <v>158</v>
      </c>
      <c r="N12" s="3" t="s">
        <v>73</v>
      </c>
      <c r="O12" s="3" t="s">
        <v>90</v>
      </c>
      <c r="P12" s="3" t="s">
        <v>35</v>
      </c>
      <c r="Q12" s="3" t="s">
        <v>36</v>
      </c>
      <c r="R12" s="3" t="s">
        <v>56</v>
      </c>
      <c r="S12" s="3" t="s">
        <v>38</v>
      </c>
      <c r="T12" s="3" t="s">
        <v>39</v>
      </c>
    </row>
    <row r="13" spans="1:20" x14ac:dyDescent="0.25">
      <c r="A13" s="2" t="s">
        <v>159</v>
      </c>
      <c r="B13" s="2" t="s">
        <v>160</v>
      </c>
      <c r="C13" s="2" t="s">
        <v>116</v>
      </c>
      <c r="D13" s="2" t="s">
        <v>161</v>
      </c>
      <c r="E13" s="2" t="s">
        <v>162</v>
      </c>
      <c r="F13" s="2" t="s">
        <v>163</v>
      </c>
      <c r="G13" s="2" t="s">
        <v>27</v>
      </c>
      <c r="H13" s="2" t="s">
        <v>164</v>
      </c>
      <c r="I13" s="2" t="s">
        <v>165</v>
      </c>
      <c r="J13" s="2" t="s">
        <v>166</v>
      </c>
      <c r="K13" s="2" t="s">
        <v>167</v>
      </c>
      <c r="L13" s="2" t="s">
        <v>168</v>
      </c>
      <c r="M13" s="2" t="s">
        <v>169</v>
      </c>
      <c r="N13" s="2" t="s">
        <v>70</v>
      </c>
      <c r="O13" s="2" t="s">
        <v>170</v>
      </c>
      <c r="P13" s="2" t="s">
        <v>35</v>
      </c>
      <c r="Q13" s="2" t="s">
        <v>53</v>
      </c>
      <c r="R13" s="2" t="s">
        <v>171</v>
      </c>
      <c r="S13" s="2" t="s">
        <v>75</v>
      </c>
      <c r="T13" s="2" t="s">
        <v>39</v>
      </c>
    </row>
    <row r="14" spans="1:20" x14ac:dyDescent="0.25">
      <c r="A14" s="3" t="s">
        <v>172</v>
      </c>
      <c r="B14" s="3" t="s">
        <v>90</v>
      </c>
      <c r="C14" s="3" t="s">
        <v>79</v>
      </c>
      <c r="D14" s="3" t="s">
        <v>173</v>
      </c>
      <c r="E14" s="3" t="s">
        <v>174</v>
      </c>
      <c r="F14" s="3" t="s">
        <v>175</v>
      </c>
      <c r="G14" s="3" t="s">
        <v>46</v>
      </c>
      <c r="H14" s="3" t="s">
        <v>47</v>
      </c>
      <c r="I14" s="3" t="s">
        <v>48</v>
      </c>
      <c r="J14" s="3" t="s">
        <v>176</v>
      </c>
      <c r="K14" s="3" t="s">
        <v>177</v>
      </c>
      <c r="L14" s="3" t="s">
        <v>178</v>
      </c>
      <c r="M14" s="3" t="s">
        <v>179</v>
      </c>
      <c r="N14" s="3" t="s">
        <v>55</v>
      </c>
      <c r="O14" s="3" t="s">
        <v>112</v>
      </c>
      <c r="P14" s="3" t="s">
        <v>35</v>
      </c>
      <c r="Q14" s="3" t="s">
        <v>180</v>
      </c>
      <c r="R14" s="3" t="s">
        <v>56</v>
      </c>
      <c r="S14" s="3" t="s">
        <v>38</v>
      </c>
      <c r="T14" s="3" t="s">
        <v>57</v>
      </c>
    </row>
    <row r="15" spans="1:20" x14ac:dyDescent="0.25">
      <c r="A15" s="2" t="s">
        <v>181</v>
      </c>
      <c r="B15" s="2" t="s">
        <v>182</v>
      </c>
      <c r="C15" s="2" t="s">
        <v>23</v>
      </c>
      <c r="D15" s="2" t="s">
        <v>183</v>
      </c>
      <c r="E15" s="2" t="s">
        <v>184</v>
      </c>
      <c r="F15" s="2" t="s">
        <v>185</v>
      </c>
      <c r="G15" s="2" t="s">
        <v>27</v>
      </c>
      <c r="H15" s="2" t="s">
        <v>84</v>
      </c>
      <c r="I15" s="2" t="s">
        <v>85</v>
      </c>
      <c r="J15" s="2" t="s">
        <v>186</v>
      </c>
      <c r="K15" s="2" t="s">
        <v>187</v>
      </c>
      <c r="L15" s="2" t="s">
        <v>188</v>
      </c>
      <c r="M15" s="2" t="s">
        <v>189</v>
      </c>
      <c r="N15" s="2" t="s">
        <v>53</v>
      </c>
      <c r="O15" s="2" t="s">
        <v>142</v>
      </c>
      <c r="P15" s="2" t="s">
        <v>103</v>
      </c>
      <c r="Q15" s="2" t="s">
        <v>53</v>
      </c>
      <c r="R15" s="2" t="s">
        <v>37</v>
      </c>
      <c r="S15" s="2" t="s">
        <v>75</v>
      </c>
      <c r="T15" s="2" t="s">
        <v>39</v>
      </c>
    </row>
    <row r="16" spans="1:20" x14ac:dyDescent="0.25">
      <c r="A16" s="3" t="s">
        <v>190</v>
      </c>
      <c r="B16" s="3" t="s">
        <v>191</v>
      </c>
      <c r="C16" s="3" t="s">
        <v>60</v>
      </c>
      <c r="D16" s="3" t="s">
        <v>192</v>
      </c>
      <c r="E16" s="3" t="s">
        <v>193</v>
      </c>
      <c r="F16" s="3" t="s">
        <v>194</v>
      </c>
      <c r="G16" s="3" t="s">
        <v>83</v>
      </c>
      <c r="H16" s="3" t="s">
        <v>97</v>
      </c>
      <c r="I16" s="3" t="s">
        <v>48</v>
      </c>
      <c r="J16" s="3" t="s">
        <v>195</v>
      </c>
      <c r="K16" s="3" t="s">
        <v>67</v>
      </c>
      <c r="L16" s="3" t="s">
        <v>196</v>
      </c>
      <c r="M16" s="3" t="s">
        <v>197</v>
      </c>
      <c r="N16" s="3" t="s">
        <v>70</v>
      </c>
      <c r="O16" s="3" t="s">
        <v>71</v>
      </c>
      <c r="P16" s="3" t="s">
        <v>35</v>
      </c>
      <c r="Q16" s="3" t="s">
        <v>33</v>
      </c>
      <c r="R16" s="3" t="s">
        <v>140</v>
      </c>
      <c r="S16" s="3" t="s">
        <v>75</v>
      </c>
      <c r="T16" s="3" t="s">
        <v>39</v>
      </c>
    </row>
    <row r="17" spans="1:20" x14ac:dyDescent="0.25">
      <c r="A17" s="2" t="s">
        <v>198</v>
      </c>
      <c r="B17" s="2" t="s">
        <v>71</v>
      </c>
      <c r="C17" s="2" t="s">
        <v>60</v>
      </c>
      <c r="D17" s="2" t="s">
        <v>199</v>
      </c>
      <c r="E17" s="2" t="s">
        <v>200</v>
      </c>
      <c r="F17" s="2" t="s">
        <v>201</v>
      </c>
      <c r="G17" s="2" t="s">
        <v>27</v>
      </c>
      <c r="H17" s="2" t="s">
        <v>28</v>
      </c>
      <c r="I17" s="2" t="s">
        <v>28</v>
      </c>
      <c r="J17" s="2" t="s">
        <v>202</v>
      </c>
      <c r="K17" s="2" t="s">
        <v>109</v>
      </c>
      <c r="L17" s="2" t="s">
        <v>203</v>
      </c>
      <c r="M17" s="2" t="s">
        <v>126</v>
      </c>
      <c r="N17" s="2" t="s">
        <v>127</v>
      </c>
      <c r="O17" s="2" t="s">
        <v>112</v>
      </c>
      <c r="P17" s="2" t="s">
        <v>35</v>
      </c>
      <c r="Q17" s="2" t="s">
        <v>204</v>
      </c>
      <c r="R17" s="2" t="s">
        <v>140</v>
      </c>
      <c r="S17" s="2" t="s">
        <v>38</v>
      </c>
      <c r="T17" s="2" t="s">
        <v>39</v>
      </c>
    </row>
    <row r="18" spans="1:20" x14ac:dyDescent="0.25">
      <c r="A18" s="3" t="s">
        <v>205</v>
      </c>
      <c r="B18" s="3" t="s">
        <v>206</v>
      </c>
      <c r="C18" s="3" t="s">
        <v>42</v>
      </c>
      <c r="D18" s="3" t="s">
        <v>207</v>
      </c>
      <c r="E18" s="3" t="s">
        <v>208</v>
      </c>
      <c r="F18" s="3" t="s">
        <v>209</v>
      </c>
      <c r="G18" s="3" t="s">
        <v>46</v>
      </c>
      <c r="H18" s="3" t="s">
        <v>210</v>
      </c>
      <c r="I18" s="3" t="s">
        <v>211</v>
      </c>
      <c r="J18" s="3" t="s">
        <v>212</v>
      </c>
      <c r="K18" s="3" t="s">
        <v>213</v>
      </c>
      <c r="L18" s="3" t="s">
        <v>214</v>
      </c>
      <c r="M18" s="3" t="s">
        <v>215</v>
      </c>
      <c r="N18" s="3" t="s">
        <v>102</v>
      </c>
      <c r="O18" s="3" t="s">
        <v>54</v>
      </c>
      <c r="P18" s="3" t="s">
        <v>103</v>
      </c>
      <c r="Q18" s="3" t="s">
        <v>102</v>
      </c>
      <c r="R18" s="3" t="s">
        <v>91</v>
      </c>
      <c r="S18" s="3" t="s">
        <v>75</v>
      </c>
      <c r="T18" s="3" t="s">
        <v>39</v>
      </c>
    </row>
    <row r="19" spans="1:20" x14ac:dyDescent="0.25">
      <c r="A19" s="2" t="s">
        <v>216</v>
      </c>
      <c r="B19" s="2" t="s">
        <v>217</v>
      </c>
      <c r="C19" s="2" t="s">
        <v>23</v>
      </c>
      <c r="D19" s="2" t="s">
        <v>218</v>
      </c>
      <c r="E19" s="2" t="s">
        <v>219</v>
      </c>
      <c r="F19" s="2" t="s">
        <v>220</v>
      </c>
      <c r="G19" s="2" t="s">
        <v>27</v>
      </c>
      <c r="H19" s="2" t="s">
        <v>28</v>
      </c>
      <c r="I19" s="2" t="s">
        <v>28</v>
      </c>
      <c r="J19" s="2" t="s">
        <v>221</v>
      </c>
      <c r="K19" s="2" t="s">
        <v>67</v>
      </c>
      <c r="L19" s="2" t="s">
        <v>68</v>
      </c>
      <c r="M19" s="2" t="s">
        <v>69</v>
      </c>
      <c r="N19" s="2" t="s">
        <v>70</v>
      </c>
      <c r="O19" s="2" t="s">
        <v>142</v>
      </c>
      <c r="P19" s="2" t="s">
        <v>35</v>
      </c>
      <c r="Q19" s="2" t="s">
        <v>73</v>
      </c>
      <c r="R19" s="2" t="s">
        <v>37</v>
      </c>
      <c r="S19" s="2" t="s">
        <v>75</v>
      </c>
      <c r="T19" s="2" t="s">
        <v>39</v>
      </c>
    </row>
    <row r="20" spans="1:20" x14ac:dyDescent="0.25">
      <c r="A20" s="3" t="s">
        <v>222</v>
      </c>
      <c r="B20" s="3" t="s">
        <v>223</v>
      </c>
      <c r="C20" s="3" t="s">
        <v>79</v>
      </c>
      <c r="D20" s="3" t="s">
        <v>224</v>
      </c>
      <c r="E20" s="3" t="s">
        <v>225</v>
      </c>
      <c r="F20" s="3" t="s">
        <v>226</v>
      </c>
      <c r="G20" s="3" t="s">
        <v>83</v>
      </c>
      <c r="H20" s="3" t="s">
        <v>64</v>
      </c>
      <c r="I20" s="3" t="s">
        <v>65</v>
      </c>
      <c r="J20" s="3" t="s">
        <v>227</v>
      </c>
      <c r="K20" s="3" t="s">
        <v>187</v>
      </c>
      <c r="L20" s="3" t="s">
        <v>51</v>
      </c>
      <c r="M20" s="3" t="s">
        <v>228</v>
      </c>
      <c r="N20" s="3" t="s">
        <v>53</v>
      </c>
      <c r="O20" s="3" t="s">
        <v>90</v>
      </c>
      <c r="P20" s="3" t="s">
        <v>35</v>
      </c>
      <c r="Q20" s="3" t="s">
        <v>53</v>
      </c>
      <c r="R20" s="3" t="s">
        <v>91</v>
      </c>
      <c r="S20" s="3" t="s">
        <v>75</v>
      </c>
      <c r="T20" s="3" t="s">
        <v>76</v>
      </c>
    </row>
    <row r="21" spans="1:20" x14ac:dyDescent="0.25">
      <c r="A21" s="2" t="s">
        <v>229</v>
      </c>
      <c r="B21" s="2" t="s">
        <v>230</v>
      </c>
      <c r="C21" s="2" t="s">
        <v>116</v>
      </c>
      <c r="D21" s="2" t="s">
        <v>231</v>
      </c>
      <c r="E21" s="2" t="s">
        <v>232</v>
      </c>
      <c r="F21" s="2" t="s">
        <v>233</v>
      </c>
      <c r="G21" s="2" t="s">
        <v>27</v>
      </c>
      <c r="H21" s="2" t="s">
        <v>121</v>
      </c>
      <c r="I21" s="2" t="s">
        <v>122</v>
      </c>
      <c r="J21" s="2" t="s">
        <v>234</v>
      </c>
      <c r="K21" s="2" t="s">
        <v>87</v>
      </c>
      <c r="L21" s="2" t="s">
        <v>88</v>
      </c>
      <c r="M21" s="2" t="s">
        <v>158</v>
      </c>
      <c r="N21" s="2" t="s">
        <v>73</v>
      </c>
      <c r="O21" s="2" t="s">
        <v>170</v>
      </c>
      <c r="P21" s="2" t="s">
        <v>235</v>
      </c>
      <c r="Q21" s="2" t="s">
        <v>36</v>
      </c>
      <c r="R21" s="2" t="s">
        <v>56</v>
      </c>
      <c r="S21" s="2" t="s">
        <v>38</v>
      </c>
      <c r="T21" s="2" t="s">
        <v>39</v>
      </c>
    </row>
    <row r="22" spans="1:20" x14ac:dyDescent="0.25">
      <c r="A22" s="3" t="s">
        <v>236</v>
      </c>
      <c r="B22" s="3" t="s">
        <v>237</v>
      </c>
      <c r="C22" s="3" t="s">
        <v>42</v>
      </c>
      <c r="D22" s="3" t="s">
        <v>238</v>
      </c>
      <c r="E22" s="3" t="s">
        <v>239</v>
      </c>
      <c r="F22" s="3" t="s">
        <v>240</v>
      </c>
      <c r="G22" s="3" t="s">
        <v>83</v>
      </c>
      <c r="H22" s="3" t="s">
        <v>164</v>
      </c>
      <c r="I22" s="3" t="s">
        <v>165</v>
      </c>
      <c r="J22" s="3" t="s">
        <v>241</v>
      </c>
      <c r="K22" s="3" t="s">
        <v>99</v>
      </c>
      <c r="L22" s="3" t="s">
        <v>242</v>
      </c>
      <c r="M22" s="3" t="s">
        <v>243</v>
      </c>
      <c r="N22" s="3" t="s">
        <v>70</v>
      </c>
      <c r="O22" s="3" t="s">
        <v>54</v>
      </c>
      <c r="P22" s="3" t="s">
        <v>35</v>
      </c>
      <c r="Q22" s="3" t="s">
        <v>70</v>
      </c>
      <c r="R22" s="3" t="s">
        <v>91</v>
      </c>
      <c r="S22" s="3" t="s">
        <v>75</v>
      </c>
      <c r="T22" s="3" t="s">
        <v>39</v>
      </c>
    </row>
    <row r="23" spans="1:20" x14ac:dyDescent="0.25">
      <c r="A23" s="2" t="s">
        <v>244</v>
      </c>
      <c r="B23" s="2" t="s">
        <v>245</v>
      </c>
      <c r="C23" s="2" t="s">
        <v>60</v>
      </c>
      <c r="D23" s="2" t="s">
        <v>246</v>
      </c>
      <c r="E23" s="2" t="s">
        <v>247</v>
      </c>
      <c r="F23" s="2" t="s">
        <v>248</v>
      </c>
      <c r="G23" s="2" t="s">
        <v>27</v>
      </c>
      <c r="H23" s="2" t="s">
        <v>134</v>
      </c>
      <c r="I23" s="2" t="s">
        <v>135</v>
      </c>
      <c r="J23" s="2" t="s">
        <v>249</v>
      </c>
      <c r="K23" s="2" t="s">
        <v>167</v>
      </c>
      <c r="L23" s="2" t="s">
        <v>100</v>
      </c>
      <c r="M23" s="2" t="s">
        <v>101</v>
      </c>
      <c r="N23" s="2" t="s">
        <v>102</v>
      </c>
      <c r="O23" s="2" t="s">
        <v>71</v>
      </c>
      <c r="P23" s="2" t="s">
        <v>250</v>
      </c>
      <c r="Q23" s="2" t="s">
        <v>73</v>
      </c>
      <c r="R23" s="2" t="s">
        <v>74</v>
      </c>
      <c r="S23" s="2" t="s">
        <v>75</v>
      </c>
      <c r="T23" s="2" t="s">
        <v>39</v>
      </c>
    </row>
    <row r="24" spans="1:20" x14ac:dyDescent="0.25">
      <c r="A24" s="3" t="s">
        <v>251</v>
      </c>
      <c r="B24" s="3" t="s">
        <v>252</v>
      </c>
      <c r="C24" s="3" t="s">
        <v>23</v>
      </c>
      <c r="D24" s="3" t="s">
        <v>253</v>
      </c>
      <c r="E24" s="3" t="s">
        <v>254</v>
      </c>
      <c r="F24" s="3" t="s">
        <v>255</v>
      </c>
      <c r="G24" s="3" t="s">
        <v>46</v>
      </c>
      <c r="H24" s="3" t="s">
        <v>47</v>
      </c>
      <c r="I24" s="3" t="s">
        <v>48</v>
      </c>
      <c r="J24" s="3" t="s">
        <v>256</v>
      </c>
      <c r="K24" s="3" t="s">
        <v>187</v>
      </c>
      <c r="L24" s="3" t="s">
        <v>188</v>
      </c>
      <c r="M24" s="3" t="s">
        <v>189</v>
      </c>
      <c r="N24" s="3" t="s">
        <v>53</v>
      </c>
      <c r="O24" s="3" t="s">
        <v>142</v>
      </c>
      <c r="P24" s="3" t="s">
        <v>35</v>
      </c>
      <c r="Q24" s="3" t="s">
        <v>33</v>
      </c>
      <c r="R24" s="3" t="s">
        <v>37</v>
      </c>
      <c r="S24" s="3" t="s">
        <v>75</v>
      </c>
      <c r="T24" s="3" t="s">
        <v>57</v>
      </c>
    </row>
    <row r="25" spans="1:20" x14ac:dyDescent="0.25">
      <c r="A25" s="2" t="s">
        <v>257</v>
      </c>
      <c r="B25" s="2" t="s">
        <v>258</v>
      </c>
      <c r="C25" s="2" t="s">
        <v>116</v>
      </c>
      <c r="D25" s="2" t="s">
        <v>259</v>
      </c>
      <c r="E25" s="2" t="s">
        <v>260</v>
      </c>
      <c r="F25" s="2" t="s">
        <v>261</v>
      </c>
      <c r="G25" s="2" t="s">
        <v>27</v>
      </c>
      <c r="H25" s="2" t="s">
        <v>28</v>
      </c>
      <c r="I25" s="2" t="s">
        <v>28</v>
      </c>
      <c r="J25" s="2" t="s">
        <v>262</v>
      </c>
      <c r="K25" s="2" t="s">
        <v>263</v>
      </c>
      <c r="L25" s="2" t="s">
        <v>157</v>
      </c>
      <c r="M25" s="2" t="s">
        <v>89</v>
      </c>
      <c r="N25" s="2" t="s">
        <v>73</v>
      </c>
      <c r="O25" s="2" t="s">
        <v>170</v>
      </c>
      <c r="P25" s="2" t="s">
        <v>35</v>
      </c>
      <c r="Q25" s="2" t="s">
        <v>264</v>
      </c>
      <c r="R25" s="2" t="s">
        <v>171</v>
      </c>
      <c r="S25" s="2" t="s">
        <v>38</v>
      </c>
      <c r="T25" s="2" t="s">
        <v>39</v>
      </c>
    </row>
    <row r="26" spans="1:20" x14ac:dyDescent="0.25">
      <c r="A26" s="3" t="s">
        <v>265</v>
      </c>
      <c r="B26" s="3" t="s">
        <v>266</v>
      </c>
      <c r="C26" s="3" t="s">
        <v>79</v>
      </c>
      <c r="D26" s="3" t="s">
        <v>267</v>
      </c>
      <c r="E26" s="3" t="s">
        <v>268</v>
      </c>
      <c r="F26" s="3" t="s">
        <v>269</v>
      </c>
      <c r="G26" s="3" t="s">
        <v>83</v>
      </c>
      <c r="H26" s="3" t="s">
        <v>97</v>
      </c>
      <c r="I26" s="3" t="s">
        <v>48</v>
      </c>
      <c r="J26" s="3" t="s">
        <v>270</v>
      </c>
      <c r="K26" s="3" t="s">
        <v>213</v>
      </c>
      <c r="L26" s="3" t="s">
        <v>271</v>
      </c>
      <c r="M26" s="3" t="s">
        <v>272</v>
      </c>
      <c r="N26" s="3" t="s">
        <v>102</v>
      </c>
      <c r="O26" s="3" t="s">
        <v>90</v>
      </c>
      <c r="P26" s="3" t="s">
        <v>103</v>
      </c>
      <c r="Q26" s="3" t="s">
        <v>102</v>
      </c>
      <c r="R26" s="3" t="s">
        <v>273</v>
      </c>
      <c r="S26" s="3" t="s">
        <v>75</v>
      </c>
      <c r="T26" s="3" t="s">
        <v>39</v>
      </c>
    </row>
    <row r="27" spans="1:20" x14ac:dyDescent="0.25">
      <c r="A27" s="2" t="s">
        <v>274</v>
      </c>
      <c r="B27" s="2" t="s">
        <v>275</v>
      </c>
      <c r="C27" s="2" t="s">
        <v>23</v>
      </c>
      <c r="D27" s="2" t="s">
        <v>276</v>
      </c>
      <c r="E27" s="2" t="s">
        <v>277</v>
      </c>
      <c r="F27" s="2" t="s">
        <v>278</v>
      </c>
      <c r="G27" s="2" t="s">
        <v>27</v>
      </c>
      <c r="H27" s="2" t="s">
        <v>84</v>
      </c>
      <c r="I27" s="2" t="s">
        <v>85</v>
      </c>
      <c r="J27" s="2" t="s">
        <v>279</v>
      </c>
      <c r="K27" s="2" t="s">
        <v>156</v>
      </c>
      <c r="L27" s="2" t="s">
        <v>31</v>
      </c>
      <c r="M27" s="2" t="s">
        <v>139</v>
      </c>
      <c r="N27" s="2" t="s">
        <v>33</v>
      </c>
      <c r="O27" s="2" t="s">
        <v>142</v>
      </c>
      <c r="P27" s="2" t="s">
        <v>35</v>
      </c>
      <c r="Q27" s="2" t="s">
        <v>127</v>
      </c>
      <c r="R27" s="2" t="s">
        <v>149</v>
      </c>
      <c r="S27" s="2" t="s">
        <v>38</v>
      </c>
      <c r="T27" s="2" t="s">
        <v>39</v>
      </c>
    </row>
    <row r="28" spans="1:20" x14ac:dyDescent="0.25">
      <c r="A28" s="3" t="s">
        <v>280</v>
      </c>
      <c r="B28" s="3" t="s">
        <v>34</v>
      </c>
      <c r="C28" s="3" t="s">
        <v>23</v>
      </c>
      <c r="D28" s="3" t="s">
        <v>281</v>
      </c>
      <c r="E28" s="3" t="s">
        <v>282</v>
      </c>
      <c r="F28" s="3" t="s">
        <v>283</v>
      </c>
      <c r="G28" s="3" t="s">
        <v>27</v>
      </c>
      <c r="H28" s="3" t="s">
        <v>64</v>
      </c>
      <c r="I28" s="3" t="s">
        <v>284</v>
      </c>
      <c r="J28" s="3" t="s">
        <v>285</v>
      </c>
      <c r="K28" s="3" t="s">
        <v>124</v>
      </c>
      <c r="L28" s="3" t="s">
        <v>125</v>
      </c>
      <c r="M28" s="3" t="s">
        <v>126</v>
      </c>
      <c r="N28" s="3" t="s">
        <v>55</v>
      </c>
      <c r="O28" s="3" t="s">
        <v>112</v>
      </c>
      <c r="P28" s="3" t="s">
        <v>35</v>
      </c>
      <c r="Q28" s="3" t="s">
        <v>286</v>
      </c>
      <c r="R28" s="3" t="s">
        <v>149</v>
      </c>
      <c r="S28" s="3" t="s">
        <v>38</v>
      </c>
      <c r="T28" s="3" t="s">
        <v>39</v>
      </c>
    </row>
    <row r="29" spans="1:20" x14ac:dyDescent="0.25">
      <c r="A29" s="2" t="s">
        <v>287</v>
      </c>
      <c r="B29" s="2" t="s">
        <v>288</v>
      </c>
      <c r="C29" s="2" t="s">
        <v>289</v>
      </c>
      <c r="D29" s="2" t="s">
        <v>290</v>
      </c>
      <c r="E29" s="2" t="s">
        <v>291</v>
      </c>
      <c r="F29" s="2" t="s">
        <v>292</v>
      </c>
      <c r="G29" s="2" t="s">
        <v>83</v>
      </c>
      <c r="H29" s="2" t="s">
        <v>47</v>
      </c>
      <c r="I29" s="2" t="s">
        <v>293</v>
      </c>
      <c r="J29" s="2" t="s">
        <v>294</v>
      </c>
      <c r="K29" s="2" t="s">
        <v>99</v>
      </c>
      <c r="L29" s="2" t="s">
        <v>168</v>
      </c>
      <c r="M29" s="2" t="s">
        <v>295</v>
      </c>
      <c r="N29" s="2" t="s">
        <v>70</v>
      </c>
      <c r="O29" s="2" t="s">
        <v>90</v>
      </c>
      <c r="P29" s="2" t="s">
        <v>35</v>
      </c>
      <c r="Q29" s="2" t="s">
        <v>70</v>
      </c>
      <c r="R29" s="2" t="s">
        <v>91</v>
      </c>
      <c r="S29" s="2" t="s">
        <v>75</v>
      </c>
      <c r="T29" s="2" t="s">
        <v>39</v>
      </c>
    </row>
    <row r="30" spans="1:20" x14ac:dyDescent="0.25">
      <c r="A30" s="3" t="s">
        <v>296</v>
      </c>
      <c r="B30" s="3" t="s">
        <v>297</v>
      </c>
      <c r="C30" s="3" t="s">
        <v>60</v>
      </c>
      <c r="D30" s="3" t="s">
        <v>298</v>
      </c>
      <c r="E30" s="3" t="s">
        <v>299</v>
      </c>
      <c r="F30" s="3" t="s">
        <v>300</v>
      </c>
      <c r="G30" s="3" t="s">
        <v>120</v>
      </c>
      <c r="H30" s="3" t="s">
        <v>28</v>
      </c>
      <c r="I30" s="3" t="s">
        <v>301</v>
      </c>
      <c r="J30" s="3" t="s">
        <v>302</v>
      </c>
      <c r="K30" s="3" t="s">
        <v>87</v>
      </c>
      <c r="L30" s="3" t="s">
        <v>303</v>
      </c>
      <c r="M30" s="3" t="s">
        <v>304</v>
      </c>
      <c r="N30" s="3" t="s">
        <v>53</v>
      </c>
      <c r="O30" s="3" t="s">
        <v>71</v>
      </c>
      <c r="P30" s="3" t="s">
        <v>35</v>
      </c>
      <c r="Q30" s="3" t="s">
        <v>33</v>
      </c>
      <c r="R30" s="3" t="s">
        <v>56</v>
      </c>
      <c r="S30" s="3" t="s">
        <v>75</v>
      </c>
      <c r="T30" s="3" t="s">
        <v>57</v>
      </c>
    </row>
    <row r="31" spans="1:20" x14ac:dyDescent="0.25">
      <c r="A31" s="2" t="s">
        <v>305</v>
      </c>
      <c r="B31" s="2" t="s">
        <v>306</v>
      </c>
      <c r="C31" s="2" t="s">
        <v>42</v>
      </c>
      <c r="D31" s="2" t="s">
        <v>307</v>
      </c>
      <c r="E31" s="2" t="s">
        <v>308</v>
      </c>
      <c r="F31" s="2" t="s">
        <v>309</v>
      </c>
      <c r="G31" s="2" t="s">
        <v>83</v>
      </c>
      <c r="H31" s="2" t="s">
        <v>121</v>
      </c>
      <c r="I31" s="2" t="s">
        <v>122</v>
      </c>
      <c r="J31" s="2" t="s">
        <v>310</v>
      </c>
      <c r="K31" s="2" t="s">
        <v>156</v>
      </c>
      <c r="L31" s="2" t="s">
        <v>31</v>
      </c>
      <c r="M31" s="2" t="s">
        <v>139</v>
      </c>
      <c r="N31" s="2" t="s">
        <v>33</v>
      </c>
      <c r="O31" s="2" t="s">
        <v>54</v>
      </c>
      <c r="P31" s="2" t="s">
        <v>35</v>
      </c>
      <c r="Q31" s="2" t="s">
        <v>50</v>
      </c>
      <c r="R31" s="2" t="s">
        <v>56</v>
      </c>
      <c r="S31" s="2" t="s">
        <v>38</v>
      </c>
      <c r="T31" s="2" t="s">
        <v>39</v>
      </c>
    </row>
    <row r="32" spans="1:20" x14ac:dyDescent="0.25">
      <c r="A32" s="3" t="s">
        <v>311</v>
      </c>
      <c r="B32" s="3" t="s">
        <v>312</v>
      </c>
      <c r="C32" s="3" t="s">
        <v>116</v>
      </c>
      <c r="D32" s="3" t="s">
        <v>313</v>
      </c>
      <c r="E32" s="3" t="s">
        <v>314</v>
      </c>
      <c r="F32" s="3" t="s">
        <v>315</v>
      </c>
      <c r="G32" s="3" t="s">
        <v>27</v>
      </c>
      <c r="H32" s="3" t="s">
        <v>164</v>
      </c>
      <c r="I32" s="3" t="s">
        <v>165</v>
      </c>
      <c r="J32" s="3" t="s">
        <v>316</v>
      </c>
      <c r="K32" s="3" t="s">
        <v>187</v>
      </c>
      <c r="L32" s="3" t="s">
        <v>68</v>
      </c>
      <c r="M32" s="3" t="s">
        <v>169</v>
      </c>
      <c r="N32" s="3" t="s">
        <v>70</v>
      </c>
      <c r="O32" s="3" t="s">
        <v>170</v>
      </c>
      <c r="P32" s="3" t="s">
        <v>35</v>
      </c>
      <c r="Q32" s="3" t="s">
        <v>73</v>
      </c>
      <c r="R32" s="3" t="s">
        <v>317</v>
      </c>
      <c r="S32" s="3" t="s">
        <v>75</v>
      </c>
      <c r="T32" s="3" t="s">
        <v>39</v>
      </c>
    </row>
    <row r="33" spans="1:20" x14ac:dyDescent="0.25">
      <c r="A33" s="2" t="s">
        <v>318</v>
      </c>
      <c r="B33" s="2"/>
      <c r="C33" s="2" t="s">
        <v>23</v>
      </c>
      <c r="D33" s="2" t="s">
        <v>319</v>
      </c>
      <c r="E33" s="2" t="s">
        <v>320</v>
      </c>
      <c r="F33" s="2" t="s">
        <v>321</v>
      </c>
      <c r="G33" s="2" t="s">
        <v>27</v>
      </c>
      <c r="H33" s="2" t="s">
        <v>28</v>
      </c>
      <c r="I33" s="2" t="s">
        <v>28</v>
      </c>
      <c r="J33" s="2" t="s">
        <v>322</v>
      </c>
      <c r="K33" s="2" t="s">
        <v>167</v>
      </c>
      <c r="L33" s="2" t="s">
        <v>242</v>
      </c>
      <c r="M33" s="2"/>
      <c r="N33" s="2" t="s">
        <v>70</v>
      </c>
      <c r="O33" s="2" t="s">
        <v>142</v>
      </c>
      <c r="P33" s="2" t="s">
        <v>35</v>
      </c>
      <c r="Q33" s="2" t="s">
        <v>70</v>
      </c>
      <c r="R33" s="2" t="s">
        <v>37</v>
      </c>
      <c r="S33" s="2" t="s">
        <v>75</v>
      </c>
      <c r="T33" s="2" t="s">
        <v>39</v>
      </c>
    </row>
    <row r="34" spans="1:20" x14ac:dyDescent="0.25">
      <c r="A34" s="3" t="s">
        <v>323</v>
      </c>
      <c r="B34" s="3" t="s">
        <v>324</v>
      </c>
      <c r="C34" s="3"/>
      <c r="D34" s="3" t="s">
        <v>325</v>
      </c>
      <c r="E34" s="3" t="s">
        <v>326</v>
      </c>
      <c r="F34" s="3" t="s">
        <v>327</v>
      </c>
      <c r="G34" s="3" t="s">
        <v>83</v>
      </c>
      <c r="H34" s="3" t="s">
        <v>328</v>
      </c>
      <c r="I34" s="3" t="s">
        <v>329</v>
      </c>
      <c r="J34" s="3" t="s">
        <v>330</v>
      </c>
      <c r="K34" s="3" t="s">
        <v>167</v>
      </c>
      <c r="L34" s="3" t="s">
        <v>188</v>
      </c>
      <c r="M34" s="3" t="s">
        <v>197</v>
      </c>
      <c r="N34" s="3" t="s">
        <v>70</v>
      </c>
      <c r="O34" s="3" t="s">
        <v>54</v>
      </c>
      <c r="P34" s="3" t="s">
        <v>35</v>
      </c>
      <c r="Q34" s="3" t="s">
        <v>53</v>
      </c>
      <c r="R34" s="3" t="s">
        <v>56</v>
      </c>
      <c r="S34" s="3" t="s">
        <v>75</v>
      </c>
      <c r="T34" s="3" t="s">
        <v>39</v>
      </c>
    </row>
    <row r="35" spans="1:20" x14ac:dyDescent="0.25">
      <c r="A35" s="2" t="s">
        <v>331</v>
      </c>
      <c r="B35" s="2" t="s">
        <v>332</v>
      </c>
      <c r="C35" s="2" t="s">
        <v>60</v>
      </c>
      <c r="D35" s="2"/>
      <c r="E35" s="2" t="s">
        <v>333</v>
      </c>
      <c r="F35" s="2" t="s">
        <v>334</v>
      </c>
      <c r="G35" s="2" t="s">
        <v>27</v>
      </c>
      <c r="H35" s="2" t="s">
        <v>134</v>
      </c>
      <c r="I35" s="2" t="s">
        <v>135</v>
      </c>
      <c r="J35" s="2" t="s">
        <v>335</v>
      </c>
      <c r="K35" s="2" t="s">
        <v>67</v>
      </c>
      <c r="L35" s="2" t="s">
        <v>196</v>
      </c>
      <c r="M35" s="2" t="s">
        <v>304</v>
      </c>
      <c r="N35" s="2" t="s">
        <v>53</v>
      </c>
      <c r="O35" s="2" t="s">
        <v>71</v>
      </c>
      <c r="P35" s="2" t="s">
        <v>35</v>
      </c>
      <c r="Q35" s="2" t="s">
        <v>36</v>
      </c>
      <c r="R35" s="2" t="s">
        <v>140</v>
      </c>
      <c r="S35" s="2" t="s">
        <v>75</v>
      </c>
      <c r="T35" s="2" t="s">
        <v>57</v>
      </c>
    </row>
    <row r="36" spans="1:20" x14ac:dyDescent="0.25">
      <c r="A36" s="3" t="s">
        <v>336</v>
      </c>
      <c r="B36" s="3" t="s">
        <v>337</v>
      </c>
      <c r="C36" s="3" t="s">
        <v>79</v>
      </c>
      <c r="D36" s="3" t="s">
        <v>338</v>
      </c>
      <c r="E36" s="3" t="s">
        <v>339</v>
      </c>
      <c r="F36" s="3" t="s">
        <v>340</v>
      </c>
      <c r="G36" s="3" t="s">
        <v>46</v>
      </c>
      <c r="H36" s="3" t="s">
        <v>64</v>
      </c>
      <c r="I36" s="3" t="s">
        <v>65</v>
      </c>
      <c r="J36" s="3" t="s">
        <v>341</v>
      </c>
      <c r="K36" s="3" t="s">
        <v>263</v>
      </c>
      <c r="L36" s="3" t="s">
        <v>88</v>
      </c>
      <c r="M36" s="3" t="s">
        <v>158</v>
      </c>
      <c r="N36" s="3" t="s">
        <v>73</v>
      </c>
      <c r="O36" s="3" t="s">
        <v>90</v>
      </c>
      <c r="P36" s="3" t="s">
        <v>35</v>
      </c>
      <c r="Q36" s="3" t="s">
        <v>127</v>
      </c>
      <c r="R36" s="3" t="s">
        <v>56</v>
      </c>
      <c r="S36" s="3" t="s">
        <v>38</v>
      </c>
      <c r="T36" s="3" t="s">
        <v>39</v>
      </c>
    </row>
    <row r="37" spans="1:20" x14ac:dyDescent="0.25">
      <c r="A37" s="2" t="s">
        <v>342</v>
      </c>
      <c r="B37" s="2" t="s">
        <v>343</v>
      </c>
      <c r="C37" s="2" t="s">
        <v>23</v>
      </c>
      <c r="D37" s="2" t="s">
        <v>344</v>
      </c>
      <c r="E37" s="2" t="s">
        <v>345</v>
      </c>
      <c r="F37" s="2" t="s">
        <v>346</v>
      </c>
      <c r="G37" s="2" t="s">
        <v>27</v>
      </c>
      <c r="H37" s="2" t="s">
        <v>97</v>
      </c>
      <c r="I37" s="2" t="s">
        <v>48</v>
      </c>
      <c r="J37" s="2" t="s">
        <v>347</v>
      </c>
      <c r="K37" s="2" t="s">
        <v>99</v>
      </c>
      <c r="L37" s="2" t="s">
        <v>100</v>
      </c>
      <c r="M37" s="2" t="s">
        <v>295</v>
      </c>
      <c r="N37" s="2" t="s">
        <v>102</v>
      </c>
      <c r="O37" s="2" t="s">
        <v>142</v>
      </c>
      <c r="P37" s="2" t="s">
        <v>348</v>
      </c>
      <c r="Q37" s="2" t="s">
        <v>70</v>
      </c>
      <c r="R37" s="2" t="s">
        <v>37</v>
      </c>
      <c r="S37" s="2" t="s">
        <v>75</v>
      </c>
      <c r="T37" s="2" t="s">
        <v>39</v>
      </c>
    </row>
    <row r="38" spans="1:20" x14ac:dyDescent="0.25">
      <c r="A38" s="3" t="s">
        <v>92</v>
      </c>
      <c r="B38" s="3" t="s">
        <v>93</v>
      </c>
      <c r="C38" s="3" t="s">
        <v>23</v>
      </c>
      <c r="D38" s="3" t="s">
        <v>94</v>
      </c>
      <c r="E38" s="3" t="s">
        <v>95</v>
      </c>
      <c r="F38" s="3" t="s">
        <v>96</v>
      </c>
      <c r="G38" s="3" t="s">
        <v>27</v>
      </c>
      <c r="H38" s="3" t="s">
        <v>97</v>
      </c>
      <c r="I38" s="3" t="s">
        <v>48</v>
      </c>
      <c r="J38" s="3" t="s">
        <v>98</v>
      </c>
      <c r="K38" s="3" t="s">
        <v>99</v>
      </c>
      <c r="L38" s="3" t="s">
        <v>100</v>
      </c>
      <c r="M38" s="3" t="s">
        <v>101</v>
      </c>
      <c r="N38" s="3" t="s">
        <v>102</v>
      </c>
      <c r="O38" s="3" t="s">
        <v>34</v>
      </c>
      <c r="P38" s="3" t="s">
        <v>103</v>
      </c>
      <c r="Q38" s="3" t="s">
        <v>70</v>
      </c>
      <c r="R38" s="3" t="s">
        <v>37</v>
      </c>
      <c r="S38" s="3" t="s">
        <v>75</v>
      </c>
      <c r="T38" s="3" t="s">
        <v>39</v>
      </c>
    </row>
    <row r="39" spans="1:20" x14ac:dyDescent="0.25">
      <c r="A39" s="2" t="s">
        <v>349</v>
      </c>
      <c r="B39" s="2" t="s">
        <v>350</v>
      </c>
      <c r="C39" s="2" t="s">
        <v>42</v>
      </c>
      <c r="D39" s="2" t="s">
        <v>105</v>
      </c>
      <c r="E39" s="2" t="s">
        <v>106</v>
      </c>
      <c r="F39" s="2" t="s">
        <v>107</v>
      </c>
      <c r="G39" s="2" t="s">
        <v>351</v>
      </c>
      <c r="H39" s="2" t="s">
        <v>28</v>
      </c>
      <c r="I39" s="2" t="s">
        <v>28</v>
      </c>
      <c r="J39" s="2" t="s">
        <v>108</v>
      </c>
      <c r="K39" s="2" t="s">
        <v>109</v>
      </c>
      <c r="L39" s="2" t="s">
        <v>110</v>
      </c>
      <c r="M39" s="2" t="s">
        <v>111</v>
      </c>
      <c r="N39" s="2" t="s">
        <v>36</v>
      </c>
      <c r="O39" s="2" t="s">
        <v>112</v>
      </c>
      <c r="P39" s="2" t="s">
        <v>35</v>
      </c>
      <c r="Q39" s="2" t="s">
        <v>113</v>
      </c>
      <c r="R39" s="2" t="s">
        <v>56</v>
      </c>
      <c r="S39" s="2" t="s">
        <v>38</v>
      </c>
      <c r="T39" s="2" t="s">
        <v>39</v>
      </c>
    </row>
    <row r="40" spans="1:20" x14ac:dyDescent="0.25">
      <c r="A40" s="3" t="s">
        <v>352</v>
      </c>
      <c r="B40" s="3" t="s">
        <v>353</v>
      </c>
      <c r="C40" s="3" t="s">
        <v>116</v>
      </c>
      <c r="D40" s="3" t="s">
        <v>354</v>
      </c>
      <c r="E40" s="3" t="s">
        <v>355</v>
      </c>
      <c r="F40" s="3" t="s">
        <v>356</v>
      </c>
      <c r="G40" s="3" t="s">
        <v>27</v>
      </c>
      <c r="H40" s="3" t="s">
        <v>210</v>
      </c>
      <c r="I40" s="3" t="s">
        <v>357</v>
      </c>
      <c r="J40" s="3" t="s">
        <v>358</v>
      </c>
      <c r="K40" s="3" t="s">
        <v>156</v>
      </c>
      <c r="L40" s="3" t="s">
        <v>31</v>
      </c>
      <c r="M40" s="3" t="s">
        <v>89</v>
      </c>
      <c r="N40" s="3" t="s">
        <v>33</v>
      </c>
      <c r="O40" s="3" t="s">
        <v>170</v>
      </c>
      <c r="P40" s="3" t="s">
        <v>35</v>
      </c>
      <c r="Q40" s="3" t="s">
        <v>286</v>
      </c>
      <c r="R40" s="3" t="s">
        <v>317</v>
      </c>
      <c r="S40" s="3" t="s">
        <v>38</v>
      </c>
      <c r="T40" s="3" t="s">
        <v>39</v>
      </c>
    </row>
    <row r="41" spans="1:20" x14ac:dyDescent="0.25">
      <c r="A41" s="2" t="s">
        <v>359</v>
      </c>
      <c r="B41" s="2" t="s">
        <v>360</v>
      </c>
      <c r="C41" s="2" t="s">
        <v>23</v>
      </c>
      <c r="D41" s="2" t="s">
        <v>361</v>
      </c>
      <c r="E41" s="2" t="s">
        <v>362</v>
      </c>
      <c r="F41" s="2" t="s">
        <v>363</v>
      </c>
      <c r="G41" s="2" t="s">
        <v>83</v>
      </c>
      <c r="H41" s="2" t="s">
        <v>84</v>
      </c>
      <c r="I41" s="2" t="s">
        <v>364</v>
      </c>
      <c r="J41" s="2" t="s">
        <v>365</v>
      </c>
      <c r="K41" s="2" t="s">
        <v>67</v>
      </c>
      <c r="L41" s="2" t="s">
        <v>51</v>
      </c>
      <c r="M41" s="2" t="s">
        <v>197</v>
      </c>
      <c r="N41" s="2" t="s">
        <v>53</v>
      </c>
      <c r="O41" s="2" t="s">
        <v>142</v>
      </c>
      <c r="P41" s="2" t="s">
        <v>35</v>
      </c>
      <c r="Q41" s="2" t="s">
        <v>73</v>
      </c>
      <c r="R41" s="2" t="s">
        <v>366</v>
      </c>
      <c r="S41" s="2" t="s">
        <v>75</v>
      </c>
      <c r="T41" s="2" t="s">
        <v>39</v>
      </c>
    </row>
    <row r="42" spans="1:20" x14ac:dyDescent="0.25">
      <c r="A42" s="3" t="s">
        <v>367</v>
      </c>
      <c r="B42" s="3" t="s">
        <v>368</v>
      </c>
      <c r="C42" s="3" t="s">
        <v>60</v>
      </c>
      <c r="D42" s="3" t="s">
        <v>369</v>
      </c>
      <c r="E42" s="3" t="s">
        <v>370</v>
      </c>
      <c r="F42" s="3" t="s">
        <v>371</v>
      </c>
      <c r="G42" s="3" t="s">
        <v>27</v>
      </c>
      <c r="H42" s="3" t="s">
        <v>28</v>
      </c>
      <c r="I42" s="3" t="s">
        <v>372</v>
      </c>
      <c r="J42" s="3" t="s">
        <v>373</v>
      </c>
      <c r="K42" s="3" t="s">
        <v>213</v>
      </c>
      <c r="L42" s="3" t="s">
        <v>214</v>
      </c>
      <c r="M42" s="3" t="s">
        <v>374</v>
      </c>
      <c r="N42" s="3" t="s">
        <v>102</v>
      </c>
      <c r="O42" s="3" t="s">
        <v>71</v>
      </c>
      <c r="P42" s="3" t="s">
        <v>103</v>
      </c>
      <c r="Q42" s="3" t="s">
        <v>102</v>
      </c>
      <c r="R42" s="3" t="s">
        <v>74</v>
      </c>
      <c r="S42" s="3" t="s">
        <v>75</v>
      </c>
      <c r="T42" s="3" t="s">
        <v>39</v>
      </c>
    </row>
    <row r="43" spans="1:20" x14ac:dyDescent="0.25">
      <c r="A43" s="2" t="s">
        <v>375</v>
      </c>
      <c r="B43" s="2" t="s">
        <v>376</v>
      </c>
      <c r="C43" s="2" t="s">
        <v>42</v>
      </c>
      <c r="D43" s="2" t="s">
        <v>377</v>
      </c>
      <c r="E43" s="2" t="s">
        <v>378</v>
      </c>
      <c r="F43" s="2" t="s">
        <v>379</v>
      </c>
      <c r="G43" s="2" t="s">
        <v>46</v>
      </c>
      <c r="H43" s="2" t="s">
        <v>47</v>
      </c>
      <c r="I43" s="2" t="s">
        <v>48</v>
      </c>
      <c r="J43" s="2" t="s">
        <v>316</v>
      </c>
      <c r="K43" s="2" t="s">
        <v>187</v>
      </c>
      <c r="L43" s="2" t="s">
        <v>196</v>
      </c>
      <c r="M43" s="2" t="s">
        <v>304</v>
      </c>
      <c r="N43" s="2" t="s">
        <v>53</v>
      </c>
      <c r="O43" s="2" t="s">
        <v>54</v>
      </c>
      <c r="P43" s="2" t="s">
        <v>235</v>
      </c>
      <c r="Q43" s="2" t="s">
        <v>33</v>
      </c>
      <c r="R43" s="2" t="s">
        <v>56</v>
      </c>
      <c r="S43" s="2" t="s">
        <v>75</v>
      </c>
      <c r="T43" s="2" t="s">
        <v>76</v>
      </c>
    </row>
    <row r="44" spans="1:20" x14ac:dyDescent="0.25">
      <c r="A44" s="3" t="s">
        <v>380</v>
      </c>
      <c r="B44" s="3" t="s">
        <v>381</v>
      </c>
      <c r="C44" s="3" t="s">
        <v>79</v>
      </c>
      <c r="D44" s="3" t="s">
        <v>382</v>
      </c>
      <c r="E44" s="3" t="s">
        <v>383</v>
      </c>
      <c r="F44" s="3" t="s">
        <v>384</v>
      </c>
      <c r="G44" s="3" t="s">
        <v>27</v>
      </c>
      <c r="H44" s="3" t="s">
        <v>97</v>
      </c>
      <c r="I44" s="3" t="s">
        <v>48</v>
      </c>
      <c r="J44" s="3" t="s">
        <v>166</v>
      </c>
      <c r="K44" s="3" t="s">
        <v>167</v>
      </c>
      <c r="L44" s="3" t="s">
        <v>68</v>
      </c>
      <c r="M44" s="3" t="s">
        <v>69</v>
      </c>
      <c r="N44" s="3" t="s">
        <v>70</v>
      </c>
      <c r="O44" s="3" t="s">
        <v>90</v>
      </c>
      <c r="P44" s="3" t="s">
        <v>35</v>
      </c>
      <c r="Q44" s="3" t="s">
        <v>53</v>
      </c>
      <c r="R44" s="3" t="s">
        <v>91</v>
      </c>
      <c r="S44" s="3" t="s">
        <v>75</v>
      </c>
      <c r="T44" s="3" t="s">
        <v>39</v>
      </c>
    </row>
    <row r="45" spans="1:20" x14ac:dyDescent="0.25">
      <c r="A45" s="2" t="s">
        <v>385</v>
      </c>
      <c r="B45" s="2" t="s">
        <v>386</v>
      </c>
      <c r="C45" s="2" t="s">
        <v>116</v>
      </c>
      <c r="D45" s="2" t="s">
        <v>387</v>
      </c>
      <c r="E45" s="2" t="s">
        <v>388</v>
      </c>
      <c r="F45" s="2" t="s">
        <v>389</v>
      </c>
      <c r="G45" s="2" t="s">
        <v>83</v>
      </c>
      <c r="H45" s="2" t="s">
        <v>121</v>
      </c>
      <c r="I45" s="2" t="s">
        <v>122</v>
      </c>
      <c r="J45" s="2" t="s">
        <v>390</v>
      </c>
      <c r="K45" s="2" t="s">
        <v>67</v>
      </c>
      <c r="L45" s="2" t="s">
        <v>303</v>
      </c>
      <c r="M45" s="2" t="s">
        <v>228</v>
      </c>
      <c r="N45" s="2" t="s">
        <v>53</v>
      </c>
      <c r="O45" s="2" t="s">
        <v>170</v>
      </c>
      <c r="P45" s="2" t="s">
        <v>35</v>
      </c>
      <c r="Q45" s="2" t="s">
        <v>55</v>
      </c>
      <c r="R45" s="2" t="s">
        <v>171</v>
      </c>
      <c r="S45" s="2" t="s">
        <v>75</v>
      </c>
      <c r="T45" s="2" t="s">
        <v>39</v>
      </c>
    </row>
    <row r="46" spans="1:20" x14ac:dyDescent="0.25">
      <c r="A46" s="3" t="s">
        <v>391</v>
      </c>
      <c r="B46" s="3" t="s">
        <v>392</v>
      </c>
      <c r="C46" s="3" t="s">
        <v>23</v>
      </c>
      <c r="D46" s="3" t="s">
        <v>393</v>
      </c>
      <c r="E46" s="3" t="s">
        <v>394</v>
      </c>
      <c r="F46" s="3" t="s">
        <v>395</v>
      </c>
      <c r="G46" s="3" t="s">
        <v>27</v>
      </c>
      <c r="H46" s="3" t="s">
        <v>64</v>
      </c>
      <c r="I46" s="3" t="s">
        <v>65</v>
      </c>
      <c r="J46" s="3" t="s">
        <v>155</v>
      </c>
      <c r="K46" s="3" t="s">
        <v>263</v>
      </c>
      <c r="L46" s="3" t="s">
        <v>157</v>
      </c>
      <c r="M46" s="3" t="s">
        <v>89</v>
      </c>
      <c r="N46" s="3" t="s">
        <v>73</v>
      </c>
      <c r="O46" s="3" t="s">
        <v>34</v>
      </c>
      <c r="P46" s="3" t="s">
        <v>35</v>
      </c>
      <c r="Q46" s="3" t="s">
        <v>36</v>
      </c>
      <c r="R46" s="3" t="s">
        <v>149</v>
      </c>
      <c r="S46" s="3" t="s">
        <v>38</v>
      </c>
      <c r="T46" s="3" t="s">
        <v>39</v>
      </c>
    </row>
    <row r="47" spans="1:20" x14ac:dyDescent="0.25">
      <c r="A47" s="2" t="s">
        <v>396</v>
      </c>
      <c r="B47" s="2" t="s">
        <v>397</v>
      </c>
      <c r="C47" s="2" t="s">
        <v>60</v>
      </c>
      <c r="D47" s="2" t="s">
        <v>398</v>
      </c>
      <c r="E47" s="2" t="s">
        <v>399</v>
      </c>
      <c r="F47" s="2" t="s">
        <v>400</v>
      </c>
      <c r="G47" s="2" t="s">
        <v>46</v>
      </c>
      <c r="H47" s="2" t="s">
        <v>134</v>
      </c>
      <c r="I47" s="2" t="s">
        <v>135</v>
      </c>
      <c r="J47" s="2" t="s">
        <v>401</v>
      </c>
      <c r="K47" s="2" t="s">
        <v>87</v>
      </c>
      <c r="L47" s="2" t="s">
        <v>303</v>
      </c>
      <c r="M47" s="2" t="s">
        <v>228</v>
      </c>
      <c r="N47" s="2" t="s">
        <v>53</v>
      </c>
      <c r="O47" s="2" t="s">
        <v>71</v>
      </c>
      <c r="P47" s="2" t="s">
        <v>35</v>
      </c>
      <c r="Q47" s="2" t="s">
        <v>36</v>
      </c>
      <c r="R47" s="2" t="s">
        <v>56</v>
      </c>
      <c r="S47" s="2" t="s">
        <v>38</v>
      </c>
      <c r="T47" s="2" t="s">
        <v>39</v>
      </c>
    </row>
    <row r="48" spans="1:20" x14ac:dyDescent="0.25">
      <c r="A48" s="3" t="s">
        <v>402</v>
      </c>
      <c r="B48" s="3" t="s">
        <v>403</v>
      </c>
      <c r="C48" s="3" t="s">
        <v>42</v>
      </c>
      <c r="D48" s="3" t="s">
        <v>404</v>
      </c>
      <c r="E48" s="3" t="s">
        <v>405</v>
      </c>
      <c r="F48" s="3" t="s">
        <v>406</v>
      </c>
      <c r="G48" s="3" t="s">
        <v>27</v>
      </c>
      <c r="H48" s="3" t="s">
        <v>28</v>
      </c>
      <c r="I48" s="3" t="s">
        <v>28</v>
      </c>
      <c r="J48" s="3" t="s">
        <v>227</v>
      </c>
      <c r="K48" s="3" t="s">
        <v>187</v>
      </c>
      <c r="L48" s="3" t="s">
        <v>188</v>
      </c>
      <c r="M48" s="3" t="s">
        <v>189</v>
      </c>
      <c r="N48" s="3" t="s">
        <v>70</v>
      </c>
      <c r="O48" s="3" t="s">
        <v>54</v>
      </c>
      <c r="P48" s="3" t="s">
        <v>35</v>
      </c>
      <c r="Q48" s="3" t="s">
        <v>73</v>
      </c>
      <c r="R48" s="3" t="s">
        <v>56</v>
      </c>
      <c r="S48" s="3" t="s">
        <v>75</v>
      </c>
      <c r="T48" s="3" t="s">
        <v>407</v>
      </c>
    </row>
    <row r="49" spans="1:20" x14ac:dyDescent="0.25">
      <c r="A49" s="2" t="s">
        <v>408</v>
      </c>
      <c r="B49" s="2" t="s">
        <v>409</v>
      </c>
      <c r="C49" s="2" t="s">
        <v>79</v>
      </c>
      <c r="D49" s="2" t="s">
        <v>410</v>
      </c>
      <c r="E49" s="2" t="s">
        <v>411</v>
      </c>
      <c r="F49" s="2" t="s">
        <v>412</v>
      </c>
      <c r="G49" s="2" t="s">
        <v>83</v>
      </c>
      <c r="H49" s="2" t="s">
        <v>164</v>
      </c>
      <c r="I49" s="2" t="s">
        <v>413</v>
      </c>
      <c r="J49" s="2" t="s">
        <v>414</v>
      </c>
      <c r="K49" s="2" t="s">
        <v>99</v>
      </c>
      <c r="L49" s="2" t="s">
        <v>168</v>
      </c>
      <c r="M49" s="2" t="s">
        <v>101</v>
      </c>
      <c r="N49" s="2" t="s">
        <v>70</v>
      </c>
      <c r="O49" s="2" t="s">
        <v>90</v>
      </c>
      <c r="P49" s="2" t="s">
        <v>103</v>
      </c>
      <c r="Q49" s="2" t="s">
        <v>70</v>
      </c>
      <c r="R49" s="2" t="s">
        <v>91</v>
      </c>
      <c r="S49" s="2" t="s">
        <v>75</v>
      </c>
      <c r="T49" s="2" t="s">
        <v>39</v>
      </c>
    </row>
    <row r="50" spans="1:20" x14ac:dyDescent="0.25">
      <c r="A50" s="3" t="s">
        <v>415</v>
      </c>
      <c r="B50" s="3" t="s">
        <v>416</v>
      </c>
      <c r="C50" s="3" t="s">
        <v>116</v>
      </c>
      <c r="D50" s="3" t="s">
        <v>417</v>
      </c>
      <c r="E50" s="3" t="s">
        <v>418</v>
      </c>
      <c r="F50" s="3" t="s">
        <v>419</v>
      </c>
      <c r="G50" s="3" t="s">
        <v>27</v>
      </c>
      <c r="H50" s="3" t="s">
        <v>84</v>
      </c>
      <c r="I50" s="3" t="s">
        <v>85</v>
      </c>
      <c r="J50" s="3" t="s">
        <v>420</v>
      </c>
      <c r="K50" s="3" t="s">
        <v>156</v>
      </c>
      <c r="L50" s="3" t="s">
        <v>138</v>
      </c>
      <c r="M50" s="3" t="s">
        <v>139</v>
      </c>
      <c r="N50" s="3" t="s">
        <v>33</v>
      </c>
      <c r="O50" s="3" t="s">
        <v>170</v>
      </c>
      <c r="P50" s="3" t="s">
        <v>35</v>
      </c>
      <c r="Q50" s="3" t="s">
        <v>50</v>
      </c>
      <c r="R50" s="3" t="s">
        <v>56</v>
      </c>
      <c r="S50" s="3" t="s">
        <v>38</v>
      </c>
      <c r="T50" s="3" t="s">
        <v>39</v>
      </c>
    </row>
    <row r="51" spans="1:20" x14ac:dyDescent="0.25">
      <c r="A51" s="2" t="s">
        <v>421</v>
      </c>
      <c r="B51" s="2" t="s">
        <v>422</v>
      </c>
      <c r="C51" s="2" t="s">
        <v>23</v>
      </c>
      <c r="D51" s="2" t="s">
        <v>423</v>
      </c>
      <c r="E51" s="2" t="s">
        <v>424</v>
      </c>
      <c r="F51" s="2" t="s">
        <v>425</v>
      </c>
      <c r="G51" s="2" t="s">
        <v>83</v>
      </c>
      <c r="H51" s="2" t="s">
        <v>47</v>
      </c>
      <c r="I51" s="2" t="s">
        <v>48</v>
      </c>
      <c r="J51" s="2" t="s">
        <v>426</v>
      </c>
      <c r="K51" s="2" t="s">
        <v>263</v>
      </c>
      <c r="L51" s="2" t="s">
        <v>88</v>
      </c>
      <c r="M51" s="2" t="s">
        <v>158</v>
      </c>
      <c r="N51" s="2" t="s">
        <v>73</v>
      </c>
      <c r="O51" s="2" t="s">
        <v>34</v>
      </c>
      <c r="P51" s="2" t="s">
        <v>35</v>
      </c>
      <c r="Q51" s="2" t="s">
        <v>127</v>
      </c>
      <c r="R51" s="2" t="s">
        <v>56</v>
      </c>
      <c r="S51" s="2" t="s">
        <v>38</v>
      </c>
      <c r="T51" s="2" t="s">
        <v>57</v>
      </c>
    </row>
    <row r="52" spans="1:20" x14ac:dyDescent="0.25">
      <c r="A52" s="3" t="s">
        <v>427</v>
      </c>
      <c r="B52" s="3" t="s">
        <v>428</v>
      </c>
      <c r="C52" s="3" t="s">
        <v>60</v>
      </c>
      <c r="D52" s="3" t="s">
        <v>429</v>
      </c>
      <c r="E52" s="3" t="s">
        <v>430</v>
      </c>
      <c r="F52" s="3" t="s">
        <v>431</v>
      </c>
      <c r="G52" s="3" t="s">
        <v>27</v>
      </c>
      <c r="H52" s="3" t="s">
        <v>97</v>
      </c>
      <c r="I52" s="3" t="s">
        <v>48</v>
      </c>
      <c r="J52" s="3" t="s">
        <v>432</v>
      </c>
      <c r="K52" s="3" t="s">
        <v>87</v>
      </c>
      <c r="L52" s="3" t="s">
        <v>51</v>
      </c>
      <c r="M52" s="3" t="s">
        <v>304</v>
      </c>
      <c r="N52" s="3" t="s">
        <v>53</v>
      </c>
      <c r="O52" s="3" t="s">
        <v>71</v>
      </c>
      <c r="P52" s="3" t="s">
        <v>35</v>
      </c>
      <c r="Q52" s="3" t="s">
        <v>33</v>
      </c>
      <c r="R52" s="3" t="s">
        <v>56</v>
      </c>
      <c r="S52" s="3" t="s">
        <v>75</v>
      </c>
      <c r="T52" s="3" t="s">
        <v>39</v>
      </c>
    </row>
    <row r="53" spans="1:20" x14ac:dyDescent="0.25">
      <c r="A53" s="2" t="s">
        <v>433</v>
      </c>
      <c r="B53" s="2" t="s">
        <v>434</v>
      </c>
      <c r="C53" s="2" t="s">
        <v>42</v>
      </c>
      <c r="D53" s="2" t="s">
        <v>435</v>
      </c>
      <c r="E53" s="2" t="s">
        <v>436</v>
      </c>
      <c r="F53" s="2" t="s">
        <v>437</v>
      </c>
      <c r="G53" s="2" t="s">
        <v>46</v>
      </c>
      <c r="H53" s="2" t="s">
        <v>64</v>
      </c>
      <c r="I53" s="2" t="s">
        <v>65</v>
      </c>
      <c r="J53" s="2" t="s">
        <v>438</v>
      </c>
      <c r="K53" s="2" t="s">
        <v>30</v>
      </c>
      <c r="L53" s="2" t="s">
        <v>138</v>
      </c>
      <c r="M53" s="2" t="s">
        <v>32</v>
      </c>
      <c r="N53" s="2" t="s">
        <v>33</v>
      </c>
      <c r="O53" s="2" t="s">
        <v>54</v>
      </c>
      <c r="P53" s="2" t="s">
        <v>35</v>
      </c>
      <c r="Q53" s="2" t="s">
        <v>286</v>
      </c>
      <c r="R53" s="2" t="s">
        <v>56</v>
      </c>
      <c r="S53" s="2" t="s">
        <v>38</v>
      </c>
      <c r="T53" s="2" t="s">
        <v>39</v>
      </c>
    </row>
  </sheetData>
  <mergeCells count="1">
    <mergeCell ref="A1:T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4D65D-9E21-45AA-B52A-A923CE91B85F}">
  <dimension ref="A1:T49"/>
  <sheetViews>
    <sheetView topLeftCell="H29" workbookViewId="0">
      <selection sqref="A1:T49"/>
    </sheetView>
  </sheetViews>
  <sheetFormatPr defaultRowHeight="15" x14ac:dyDescent="0.25"/>
  <cols>
    <col min="1" max="1" width="11.7109375" bestFit="1" customWidth="1"/>
    <col min="2" max="2" width="20.28515625" bestFit="1" customWidth="1"/>
    <col min="3" max="3" width="17.85546875" bestFit="1" customWidth="1"/>
    <col min="4" max="4" width="23.85546875" bestFit="1" customWidth="1"/>
    <col min="5" max="5" width="13.7109375" bestFit="1" customWidth="1"/>
    <col min="6" max="6" width="16.7109375" bestFit="1" customWidth="1"/>
    <col min="7" max="7" width="12.28515625" bestFit="1" customWidth="1"/>
    <col min="8" max="8" width="10.5703125" bestFit="1" customWidth="1"/>
    <col min="9" max="9" width="13.28515625" bestFit="1" customWidth="1"/>
    <col min="10" max="10" width="20.42578125" bestFit="1" customWidth="1"/>
    <col min="11" max="11" width="12.5703125" bestFit="1" customWidth="1"/>
    <col min="12" max="12" width="23.28515625" bestFit="1" customWidth="1"/>
    <col min="13" max="13" width="18" bestFit="1" customWidth="1"/>
    <col min="14" max="14" width="17.7109375" bestFit="1" customWidth="1"/>
    <col min="15" max="15" width="19.28515625" bestFit="1" customWidth="1"/>
    <col min="16" max="16" width="21.85546875" bestFit="1" customWidth="1"/>
    <col min="17" max="17" width="20.140625" bestFit="1" customWidth="1"/>
    <col min="18" max="18" width="14.28515625" bestFit="1" customWidth="1"/>
    <col min="19" max="19" width="17.85546875" bestFit="1" customWidth="1"/>
    <col min="20" max="20" width="11" bestFit="1" customWidth="1"/>
  </cols>
  <sheetData>
    <row r="1" spans="1:20" x14ac:dyDescent="0.25">
      <c r="A1" s="4" t="s">
        <v>1</v>
      </c>
      <c r="B1" s="4" t="s">
        <v>2</v>
      </c>
      <c r="C1" s="4" t="s">
        <v>3</v>
      </c>
      <c r="D1" s="4" t="s">
        <v>439</v>
      </c>
      <c r="E1" s="4" t="s">
        <v>5</v>
      </c>
      <c r="F1" s="4" t="s">
        <v>6</v>
      </c>
      <c r="G1" s="4" t="s">
        <v>7</v>
      </c>
      <c r="H1" s="4" t="s">
        <v>8</v>
      </c>
      <c r="I1" s="4" t="s">
        <v>9</v>
      </c>
      <c r="J1" s="4" t="s">
        <v>10</v>
      </c>
      <c r="K1" s="4" t="s">
        <v>11</v>
      </c>
      <c r="L1" s="4" t="s">
        <v>12</v>
      </c>
      <c r="M1" s="4" t="s">
        <v>13</v>
      </c>
      <c r="N1" s="4" t="s">
        <v>14</v>
      </c>
      <c r="O1" s="4" t="s">
        <v>15</v>
      </c>
      <c r="P1" s="4" t="s">
        <v>16</v>
      </c>
      <c r="Q1" s="4" t="s">
        <v>17</v>
      </c>
      <c r="R1" s="4" t="s">
        <v>18</v>
      </c>
      <c r="S1" s="4" t="s">
        <v>19</v>
      </c>
      <c r="T1" s="4" t="s">
        <v>20</v>
      </c>
    </row>
    <row r="2" spans="1:20" x14ac:dyDescent="0.25">
      <c r="A2" s="5" t="s">
        <v>21</v>
      </c>
      <c r="B2" s="5" t="s">
        <v>22</v>
      </c>
      <c r="C2" s="5" t="s">
        <v>440</v>
      </c>
      <c r="D2" s="5" t="s">
        <v>24</v>
      </c>
      <c r="E2" s="6">
        <v>43539</v>
      </c>
      <c r="F2" s="6">
        <v>33076</v>
      </c>
      <c r="G2" s="5" t="s">
        <v>27</v>
      </c>
      <c r="H2" s="5" t="s">
        <v>28</v>
      </c>
      <c r="I2" s="5" t="s">
        <v>28</v>
      </c>
      <c r="J2" s="5">
        <v>85000</v>
      </c>
      <c r="K2" s="5">
        <v>0.12</v>
      </c>
      <c r="L2" s="5">
        <v>4.2</v>
      </c>
      <c r="M2" s="5">
        <v>0.96</v>
      </c>
      <c r="N2" s="5">
        <v>5</v>
      </c>
      <c r="O2" s="5" t="s">
        <v>34</v>
      </c>
      <c r="P2" s="5" t="s">
        <v>35</v>
      </c>
      <c r="Q2" s="5">
        <v>6</v>
      </c>
      <c r="R2" s="5" t="s">
        <v>441</v>
      </c>
      <c r="S2" s="6">
        <v>45301</v>
      </c>
      <c r="T2" s="5" t="s">
        <v>39</v>
      </c>
    </row>
    <row r="3" spans="1:20" x14ac:dyDescent="0.25">
      <c r="A3" s="5" t="s">
        <v>40</v>
      </c>
      <c r="B3" s="5" t="s">
        <v>442</v>
      </c>
      <c r="C3" s="5" t="s">
        <v>443</v>
      </c>
      <c r="D3" s="5" t="s">
        <v>444</v>
      </c>
      <c r="E3" s="6">
        <v>43252</v>
      </c>
      <c r="F3" s="6">
        <v>32452</v>
      </c>
      <c r="G3" s="5" t="s">
        <v>46</v>
      </c>
      <c r="H3" s="5" t="s">
        <v>47</v>
      </c>
      <c r="I3" s="5" t="s">
        <v>48</v>
      </c>
      <c r="J3" s="5">
        <v>72000</v>
      </c>
      <c r="K3" s="5">
        <v>10</v>
      </c>
      <c r="L3" s="5">
        <v>3.8</v>
      </c>
      <c r="M3" s="5">
        <v>91</v>
      </c>
      <c r="N3" s="5">
        <v>3</v>
      </c>
      <c r="O3" s="5" t="s">
        <v>54</v>
      </c>
      <c r="P3" s="5" t="s">
        <v>35</v>
      </c>
      <c r="Q3" s="5">
        <v>8</v>
      </c>
      <c r="R3" s="5" t="s">
        <v>56</v>
      </c>
      <c r="S3" s="6">
        <v>45301</v>
      </c>
      <c r="T3" s="5" t="s">
        <v>39</v>
      </c>
    </row>
    <row r="4" spans="1:20" x14ac:dyDescent="0.25">
      <c r="A4" s="5" t="s">
        <v>58</v>
      </c>
      <c r="B4" s="5" t="s">
        <v>445</v>
      </c>
      <c r="C4" s="5" t="s">
        <v>60</v>
      </c>
      <c r="D4" s="5" t="s">
        <v>61</v>
      </c>
      <c r="E4" s="6">
        <v>44216</v>
      </c>
      <c r="F4" s="6">
        <v>34802</v>
      </c>
      <c r="G4" s="5" t="s">
        <v>27</v>
      </c>
      <c r="H4" s="5" t="s">
        <v>64</v>
      </c>
      <c r="I4" s="5" t="s">
        <v>65</v>
      </c>
      <c r="J4" s="5">
        <v>55000</v>
      </c>
      <c r="K4" s="5">
        <v>0.08</v>
      </c>
      <c r="L4" s="5">
        <v>3.5</v>
      </c>
      <c r="M4" s="5">
        <v>0.88</v>
      </c>
      <c r="N4" s="5">
        <v>2</v>
      </c>
      <c r="O4" s="5" t="s">
        <v>71</v>
      </c>
      <c r="P4" s="5" t="s">
        <v>72</v>
      </c>
      <c r="Q4" s="5">
        <v>4</v>
      </c>
      <c r="R4" s="5" t="s">
        <v>446</v>
      </c>
      <c r="S4" s="6">
        <v>45122</v>
      </c>
      <c r="T4" s="5" t="s">
        <v>39</v>
      </c>
    </row>
    <row r="5" spans="1:20" x14ac:dyDescent="0.25">
      <c r="A5" s="5" t="s">
        <v>77</v>
      </c>
      <c r="B5" s="5" t="s">
        <v>78</v>
      </c>
      <c r="C5" s="5" t="s">
        <v>79</v>
      </c>
      <c r="D5" s="5" t="s">
        <v>80</v>
      </c>
      <c r="E5" s="6">
        <v>44084</v>
      </c>
      <c r="F5" s="6">
        <v>34028</v>
      </c>
      <c r="G5" s="5" t="s">
        <v>83</v>
      </c>
      <c r="H5" s="5" t="s">
        <v>84</v>
      </c>
      <c r="I5" s="5" t="s">
        <v>85</v>
      </c>
      <c r="J5" s="5">
        <v>62000</v>
      </c>
      <c r="K5" s="5">
        <v>0.09</v>
      </c>
      <c r="L5" s="5">
        <v>4</v>
      </c>
      <c r="M5" s="5">
        <v>0.94</v>
      </c>
      <c r="N5" s="5">
        <v>4</v>
      </c>
      <c r="O5" s="5" t="s">
        <v>90</v>
      </c>
      <c r="P5" s="5" t="s">
        <v>35</v>
      </c>
      <c r="Q5" s="5">
        <v>5</v>
      </c>
      <c r="R5" s="5" t="s">
        <v>91</v>
      </c>
      <c r="S5" s="6">
        <v>45301</v>
      </c>
      <c r="T5" s="5" t="s">
        <v>39</v>
      </c>
    </row>
    <row r="6" spans="1:20" x14ac:dyDescent="0.25">
      <c r="A6" s="5" t="s">
        <v>92</v>
      </c>
      <c r="B6" s="5" t="s">
        <v>93</v>
      </c>
      <c r="C6" s="5" t="s">
        <v>440</v>
      </c>
      <c r="D6" s="5" t="s">
        <v>94</v>
      </c>
      <c r="E6" s="6">
        <v>44747</v>
      </c>
      <c r="F6" s="6">
        <v>36055</v>
      </c>
      <c r="G6" s="5" t="s">
        <v>27</v>
      </c>
      <c r="H6" s="5" t="s">
        <v>97</v>
      </c>
      <c r="I6" s="5" t="s">
        <v>48</v>
      </c>
      <c r="J6" s="5">
        <v>42000</v>
      </c>
      <c r="K6" s="5">
        <v>0.05</v>
      </c>
      <c r="L6" s="5">
        <v>3.2</v>
      </c>
      <c r="M6" s="5">
        <v>0.85</v>
      </c>
      <c r="N6" s="5">
        <v>1</v>
      </c>
      <c r="O6" s="5" t="s">
        <v>34</v>
      </c>
      <c r="P6" s="5" t="s">
        <v>103</v>
      </c>
      <c r="Q6" s="5">
        <v>2</v>
      </c>
      <c r="R6" s="5" t="s">
        <v>441</v>
      </c>
      <c r="S6" s="6">
        <v>45122</v>
      </c>
      <c r="T6" s="5" t="s">
        <v>39</v>
      </c>
    </row>
    <row r="7" spans="1:20" x14ac:dyDescent="0.25">
      <c r="A7" s="5" t="s">
        <v>104</v>
      </c>
      <c r="B7" s="5" t="s">
        <v>54</v>
      </c>
      <c r="C7" s="5" t="s">
        <v>443</v>
      </c>
      <c r="D7" s="5" t="s">
        <v>447</v>
      </c>
      <c r="E7" s="6">
        <v>42106</v>
      </c>
      <c r="F7" s="6">
        <v>29981</v>
      </c>
      <c r="G7" s="5" t="s">
        <v>83</v>
      </c>
      <c r="H7" s="5" t="s">
        <v>28</v>
      </c>
      <c r="I7" s="5" t="s">
        <v>28</v>
      </c>
      <c r="J7" s="5">
        <v>120000</v>
      </c>
      <c r="K7" s="5">
        <v>0.15</v>
      </c>
      <c r="L7" s="5">
        <v>4.7</v>
      </c>
      <c r="M7" s="5">
        <v>0.98</v>
      </c>
      <c r="N7" s="5">
        <v>6</v>
      </c>
      <c r="O7" s="5" t="s">
        <v>112</v>
      </c>
      <c r="P7" s="5" t="s">
        <v>35</v>
      </c>
      <c r="Q7" s="5">
        <v>14</v>
      </c>
      <c r="R7" s="5" t="s">
        <v>56</v>
      </c>
      <c r="S7" s="6">
        <v>45301</v>
      </c>
      <c r="T7" s="5" t="s">
        <v>39</v>
      </c>
    </row>
    <row r="8" spans="1:20" x14ac:dyDescent="0.25">
      <c r="A8" s="5" t="s">
        <v>114</v>
      </c>
      <c r="B8" s="5" t="s">
        <v>170</v>
      </c>
      <c r="C8" s="5" t="s">
        <v>116</v>
      </c>
      <c r="D8" s="5" t="s">
        <v>117</v>
      </c>
      <c r="E8" s="6">
        <v>42969</v>
      </c>
      <c r="F8" s="6">
        <v>31213</v>
      </c>
      <c r="G8" s="5" t="s">
        <v>120</v>
      </c>
      <c r="H8" s="5" t="s">
        <v>121</v>
      </c>
      <c r="I8" s="5" t="s">
        <v>122</v>
      </c>
      <c r="J8" s="5">
        <v>98000</v>
      </c>
      <c r="K8" s="5">
        <v>0.14000000000000001</v>
      </c>
      <c r="L8" s="5">
        <v>4.5</v>
      </c>
      <c r="M8" s="5">
        <v>0.97</v>
      </c>
      <c r="N8" s="5">
        <v>7</v>
      </c>
      <c r="O8" s="5" t="s">
        <v>112</v>
      </c>
      <c r="P8" s="5" t="s">
        <v>35</v>
      </c>
      <c r="Q8" s="5">
        <v>12</v>
      </c>
      <c r="R8" s="5" t="s">
        <v>56</v>
      </c>
      <c r="S8" s="6">
        <v>45301</v>
      </c>
      <c r="T8" s="5" t="s">
        <v>39</v>
      </c>
    </row>
    <row r="9" spans="1:20" x14ac:dyDescent="0.25">
      <c r="A9" s="5" t="s">
        <v>129</v>
      </c>
      <c r="B9" s="5" t="s">
        <v>130</v>
      </c>
      <c r="C9" s="5" t="s">
        <v>60</v>
      </c>
      <c r="D9" s="5" t="s">
        <v>131</v>
      </c>
      <c r="E9" s="6">
        <v>42704</v>
      </c>
      <c r="F9" s="6">
        <v>31844</v>
      </c>
      <c r="G9" s="5" t="s">
        <v>83</v>
      </c>
      <c r="H9" s="5" t="s">
        <v>134</v>
      </c>
      <c r="I9" s="5" t="s">
        <v>135</v>
      </c>
      <c r="J9" s="5">
        <v>88000</v>
      </c>
      <c r="K9" s="5">
        <v>0.13</v>
      </c>
      <c r="L9" s="5">
        <v>4.3</v>
      </c>
      <c r="M9" s="5">
        <v>0.95</v>
      </c>
      <c r="N9" s="5">
        <v>5</v>
      </c>
      <c r="O9" s="5" t="s">
        <v>71</v>
      </c>
      <c r="P9" s="5" t="s">
        <v>35</v>
      </c>
      <c r="Q9" s="5">
        <v>10</v>
      </c>
      <c r="R9" s="5" t="s">
        <v>140</v>
      </c>
      <c r="S9" s="6">
        <v>45301</v>
      </c>
      <c r="T9" s="5" t="s">
        <v>39</v>
      </c>
    </row>
    <row r="10" spans="1:20" x14ac:dyDescent="0.25">
      <c r="A10" s="5" t="s">
        <v>141</v>
      </c>
      <c r="B10" s="5" t="s">
        <v>142</v>
      </c>
      <c r="C10" s="5" t="s">
        <v>440</v>
      </c>
      <c r="D10" s="5" t="s">
        <v>143</v>
      </c>
      <c r="E10" s="6">
        <v>43145</v>
      </c>
      <c r="F10" s="6">
        <v>33597</v>
      </c>
      <c r="G10" s="5" t="s">
        <v>27</v>
      </c>
      <c r="H10" s="5" t="s">
        <v>64</v>
      </c>
      <c r="I10" s="5" t="s">
        <v>65</v>
      </c>
      <c r="J10" s="5">
        <v>95000</v>
      </c>
      <c r="K10" s="5">
        <v>0.12</v>
      </c>
      <c r="L10" s="5">
        <v>4.4000000000000004</v>
      </c>
      <c r="M10" s="5">
        <v>0.96</v>
      </c>
      <c r="N10" s="5">
        <v>6</v>
      </c>
      <c r="O10" s="5" t="s">
        <v>34</v>
      </c>
      <c r="P10" s="5" t="s">
        <v>148</v>
      </c>
      <c r="Q10" s="5">
        <v>7</v>
      </c>
      <c r="R10" s="5" t="s">
        <v>448</v>
      </c>
      <c r="S10" s="6">
        <v>45301</v>
      </c>
      <c r="T10" s="5" t="s">
        <v>39</v>
      </c>
    </row>
    <row r="11" spans="1:20" x14ac:dyDescent="0.25">
      <c r="A11" s="5" t="s">
        <v>150</v>
      </c>
      <c r="B11" s="5" t="s">
        <v>151</v>
      </c>
      <c r="C11" s="5" t="s">
        <v>79</v>
      </c>
      <c r="D11" s="5" t="s">
        <v>152</v>
      </c>
      <c r="E11" s="6">
        <v>43605</v>
      </c>
      <c r="F11" s="6">
        <v>33827</v>
      </c>
      <c r="G11" s="5" t="s">
        <v>83</v>
      </c>
      <c r="H11" s="5" t="s">
        <v>28</v>
      </c>
      <c r="I11" s="5" t="s">
        <v>28</v>
      </c>
      <c r="J11" s="5">
        <v>78000</v>
      </c>
      <c r="K11" s="5">
        <v>0.11</v>
      </c>
      <c r="L11" s="5">
        <v>4.0999999999999996</v>
      </c>
      <c r="M11" s="5">
        <v>0.93</v>
      </c>
      <c r="N11" s="5">
        <v>4</v>
      </c>
      <c r="O11" s="5" t="s">
        <v>90</v>
      </c>
      <c r="P11" s="5" t="s">
        <v>35</v>
      </c>
      <c r="Q11" s="5">
        <v>6</v>
      </c>
      <c r="R11" s="5" t="s">
        <v>56</v>
      </c>
      <c r="S11" s="6">
        <v>45301</v>
      </c>
      <c r="T11" s="5" t="s">
        <v>39</v>
      </c>
    </row>
    <row r="12" spans="1:20" x14ac:dyDescent="0.25">
      <c r="A12" s="5" t="s">
        <v>159</v>
      </c>
      <c r="B12" s="5" t="s">
        <v>160</v>
      </c>
      <c r="C12" s="5" t="s">
        <v>116</v>
      </c>
      <c r="D12" s="5" t="s">
        <v>161</v>
      </c>
      <c r="E12" s="6">
        <v>44263</v>
      </c>
      <c r="F12" s="6">
        <v>35205</v>
      </c>
      <c r="G12" s="5" t="s">
        <v>27</v>
      </c>
      <c r="H12" s="5" t="s">
        <v>164</v>
      </c>
      <c r="I12" s="5" t="s">
        <v>165</v>
      </c>
      <c r="J12" s="5">
        <v>48000</v>
      </c>
      <c r="K12" s="5">
        <v>0.06</v>
      </c>
      <c r="L12" s="5">
        <v>3.3</v>
      </c>
      <c r="M12" s="5">
        <v>0.87</v>
      </c>
      <c r="N12" s="5">
        <v>2</v>
      </c>
      <c r="O12" s="5" t="s">
        <v>170</v>
      </c>
      <c r="P12" s="5" t="s">
        <v>35</v>
      </c>
      <c r="Q12" s="5">
        <v>3</v>
      </c>
      <c r="R12" s="5" t="s">
        <v>449</v>
      </c>
      <c r="S12" s="6">
        <v>45122</v>
      </c>
      <c r="T12" s="5" t="s">
        <v>39</v>
      </c>
    </row>
    <row r="13" spans="1:20" x14ac:dyDescent="0.25">
      <c r="A13" s="5" t="s">
        <v>172</v>
      </c>
      <c r="B13" s="5" t="s">
        <v>90</v>
      </c>
      <c r="C13" s="5" t="s">
        <v>79</v>
      </c>
      <c r="D13" s="5" t="s">
        <v>173</v>
      </c>
      <c r="E13" s="6">
        <v>41518</v>
      </c>
      <c r="F13" s="6">
        <v>29508</v>
      </c>
      <c r="G13" s="5" t="s">
        <v>46</v>
      </c>
      <c r="H13" s="5" t="s">
        <v>47</v>
      </c>
      <c r="I13" s="5" t="s">
        <v>48</v>
      </c>
      <c r="J13" s="5">
        <v>135000</v>
      </c>
      <c r="K13" s="5">
        <v>0.16</v>
      </c>
      <c r="L13" s="5">
        <v>4.8</v>
      </c>
      <c r="M13" s="5">
        <v>0.99</v>
      </c>
      <c r="N13" s="5">
        <v>8</v>
      </c>
      <c r="O13" s="5" t="s">
        <v>112</v>
      </c>
      <c r="P13" s="5" t="s">
        <v>35</v>
      </c>
      <c r="Q13" s="5">
        <v>16</v>
      </c>
      <c r="R13" s="5" t="s">
        <v>56</v>
      </c>
      <c r="S13" s="6">
        <v>45301</v>
      </c>
      <c r="T13" s="5" t="s">
        <v>39</v>
      </c>
    </row>
    <row r="14" spans="1:20" x14ac:dyDescent="0.25">
      <c r="A14" s="5" t="s">
        <v>181</v>
      </c>
      <c r="B14" s="5" t="s">
        <v>182</v>
      </c>
      <c r="C14" s="5" t="s">
        <v>440</v>
      </c>
      <c r="D14" s="5" t="s">
        <v>183</v>
      </c>
      <c r="E14" s="6">
        <v>44576</v>
      </c>
      <c r="F14" s="6">
        <v>35614</v>
      </c>
      <c r="G14" s="5" t="s">
        <v>27</v>
      </c>
      <c r="H14" s="5" t="s">
        <v>84</v>
      </c>
      <c r="I14" s="5" t="s">
        <v>85</v>
      </c>
      <c r="J14" s="5">
        <v>52000</v>
      </c>
      <c r="K14" s="5">
        <v>7.0000000000000007E-2</v>
      </c>
      <c r="L14" s="5">
        <v>3.6</v>
      </c>
      <c r="M14" s="5">
        <v>0.89</v>
      </c>
      <c r="N14" s="5">
        <v>3</v>
      </c>
      <c r="O14" s="5" t="s">
        <v>142</v>
      </c>
      <c r="P14" s="5" t="s">
        <v>103</v>
      </c>
      <c r="Q14" s="5">
        <v>3</v>
      </c>
      <c r="R14" s="5" t="s">
        <v>441</v>
      </c>
      <c r="S14" s="6">
        <v>45122</v>
      </c>
      <c r="T14" s="5" t="s">
        <v>39</v>
      </c>
    </row>
    <row r="15" spans="1:20" x14ac:dyDescent="0.25">
      <c r="A15" s="5" t="s">
        <v>190</v>
      </c>
      <c r="B15" s="5" t="s">
        <v>191</v>
      </c>
      <c r="C15" s="5" t="s">
        <v>60</v>
      </c>
      <c r="D15" s="5" t="s">
        <v>192</v>
      </c>
      <c r="E15" s="6">
        <v>43922</v>
      </c>
      <c r="F15" s="6">
        <v>34599</v>
      </c>
      <c r="G15" s="5" t="s">
        <v>83</v>
      </c>
      <c r="H15" s="5" t="s">
        <v>97</v>
      </c>
      <c r="I15" s="5" t="s">
        <v>48</v>
      </c>
      <c r="J15" s="5">
        <v>59000</v>
      </c>
      <c r="K15" s="5">
        <v>0.08</v>
      </c>
      <c r="L15" s="5">
        <v>3.7</v>
      </c>
      <c r="M15" s="5">
        <v>0.9</v>
      </c>
      <c r="N15" s="5">
        <v>2</v>
      </c>
      <c r="O15" s="5" t="s">
        <v>71</v>
      </c>
      <c r="P15" s="5" t="s">
        <v>35</v>
      </c>
      <c r="Q15" s="5">
        <v>5</v>
      </c>
      <c r="R15" s="5" t="s">
        <v>140</v>
      </c>
      <c r="S15" s="6">
        <v>45122</v>
      </c>
      <c r="T15" s="5" t="s">
        <v>39</v>
      </c>
    </row>
    <row r="16" spans="1:20" x14ac:dyDescent="0.25">
      <c r="A16" s="5" t="s">
        <v>198</v>
      </c>
      <c r="B16" s="5" t="s">
        <v>71</v>
      </c>
      <c r="C16" s="5" t="s">
        <v>60</v>
      </c>
      <c r="D16" s="5" t="s">
        <v>199</v>
      </c>
      <c r="E16" s="6">
        <v>41830</v>
      </c>
      <c r="F16" s="6">
        <v>28950</v>
      </c>
      <c r="G16" s="5" t="s">
        <v>27</v>
      </c>
      <c r="H16" s="5" t="s">
        <v>28</v>
      </c>
      <c r="I16" s="5" t="s">
        <v>28</v>
      </c>
      <c r="J16" s="5">
        <v>115000</v>
      </c>
      <c r="K16" s="5">
        <v>0.15</v>
      </c>
      <c r="L16" s="5">
        <v>4.5999999999999996</v>
      </c>
      <c r="M16" s="5">
        <v>0.97</v>
      </c>
      <c r="N16" s="5">
        <v>7</v>
      </c>
      <c r="O16" s="5" t="s">
        <v>112</v>
      </c>
      <c r="P16" s="5" t="s">
        <v>35</v>
      </c>
      <c r="Q16" s="5">
        <v>15</v>
      </c>
      <c r="R16" s="5" t="s">
        <v>140</v>
      </c>
      <c r="S16" s="6">
        <v>45301</v>
      </c>
      <c r="T16" s="5" t="s">
        <v>39</v>
      </c>
    </row>
    <row r="17" spans="1:20" x14ac:dyDescent="0.25">
      <c r="A17" s="5" t="s">
        <v>205</v>
      </c>
      <c r="B17" s="5" t="s">
        <v>206</v>
      </c>
      <c r="C17" s="5" t="s">
        <v>443</v>
      </c>
      <c r="D17" s="5" t="s">
        <v>450</v>
      </c>
      <c r="E17" s="6">
        <v>44977</v>
      </c>
      <c r="F17" s="6">
        <v>36540</v>
      </c>
      <c r="G17" s="5" t="s">
        <v>46</v>
      </c>
      <c r="H17" s="5" t="s">
        <v>210</v>
      </c>
      <c r="I17" s="5" t="s">
        <v>211</v>
      </c>
      <c r="J17" s="5">
        <v>38000</v>
      </c>
      <c r="K17" s="5">
        <v>0.04</v>
      </c>
      <c r="L17" s="5">
        <v>3</v>
      </c>
      <c r="M17" s="5">
        <v>0.82</v>
      </c>
      <c r="N17" s="5">
        <v>1</v>
      </c>
      <c r="O17" s="5" t="s">
        <v>54</v>
      </c>
      <c r="P17" s="5" t="s">
        <v>103</v>
      </c>
      <c r="Q17" s="5">
        <v>1</v>
      </c>
      <c r="R17" s="5" t="s">
        <v>91</v>
      </c>
      <c r="S17" s="6">
        <v>45122</v>
      </c>
      <c r="T17" s="5" t="s">
        <v>39</v>
      </c>
    </row>
    <row r="18" spans="1:20" x14ac:dyDescent="0.25">
      <c r="A18" s="5" t="s">
        <v>216</v>
      </c>
      <c r="B18" s="5" t="s">
        <v>217</v>
      </c>
      <c r="C18" s="5" t="s">
        <v>440</v>
      </c>
      <c r="D18" s="5" t="s">
        <v>218</v>
      </c>
      <c r="E18" s="6">
        <v>44109</v>
      </c>
      <c r="F18" s="6">
        <v>34301</v>
      </c>
      <c r="G18" s="5" t="s">
        <v>27</v>
      </c>
      <c r="H18" s="5" t="s">
        <v>28</v>
      </c>
      <c r="I18" s="5" t="s">
        <v>28</v>
      </c>
      <c r="J18" s="5">
        <v>58000</v>
      </c>
      <c r="K18" s="5">
        <v>0.08</v>
      </c>
      <c r="L18" s="5">
        <v>3.5</v>
      </c>
      <c r="M18" s="5">
        <v>0.88</v>
      </c>
      <c r="N18" s="5">
        <v>2</v>
      </c>
      <c r="O18" s="5" t="s">
        <v>142</v>
      </c>
      <c r="P18" s="5" t="s">
        <v>35</v>
      </c>
      <c r="Q18" s="5">
        <v>4</v>
      </c>
      <c r="R18" s="5" t="s">
        <v>441</v>
      </c>
      <c r="S18" s="6">
        <v>45122</v>
      </c>
      <c r="T18" s="5" t="s">
        <v>39</v>
      </c>
    </row>
    <row r="19" spans="1:20" x14ac:dyDescent="0.25">
      <c r="A19" s="5" t="s">
        <v>222</v>
      </c>
      <c r="B19" s="5" t="s">
        <v>223</v>
      </c>
      <c r="C19" s="5" t="s">
        <v>79</v>
      </c>
      <c r="D19" s="5" t="s">
        <v>224</v>
      </c>
      <c r="E19" s="6">
        <v>44361</v>
      </c>
      <c r="F19" s="6">
        <v>35131</v>
      </c>
      <c r="G19" s="5" t="s">
        <v>83</v>
      </c>
      <c r="H19" s="5" t="s">
        <v>64</v>
      </c>
      <c r="I19" s="5" t="s">
        <v>65</v>
      </c>
      <c r="J19" s="5">
        <v>51000</v>
      </c>
      <c r="K19" s="5">
        <v>7.0000000000000007E-2</v>
      </c>
      <c r="L19" s="5">
        <v>3.8</v>
      </c>
      <c r="M19" s="5">
        <v>0.92</v>
      </c>
      <c r="N19" s="5">
        <v>3</v>
      </c>
      <c r="O19" s="5" t="s">
        <v>90</v>
      </c>
      <c r="P19" s="5" t="s">
        <v>35</v>
      </c>
      <c r="Q19" s="5">
        <v>3</v>
      </c>
      <c r="R19" s="5" t="s">
        <v>91</v>
      </c>
      <c r="S19" s="6">
        <v>45122</v>
      </c>
      <c r="T19" s="5" t="s">
        <v>39</v>
      </c>
    </row>
    <row r="20" spans="1:20" x14ac:dyDescent="0.25">
      <c r="A20" s="5" t="s">
        <v>229</v>
      </c>
      <c r="B20" s="5" t="s">
        <v>230</v>
      </c>
      <c r="C20" s="5" t="s">
        <v>116</v>
      </c>
      <c r="D20" s="5" t="s">
        <v>231</v>
      </c>
      <c r="E20" s="6">
        <v>43800</v>
      </c>
      <c r="F20" s="6">
        <v>33469</v>
      </c>
      <c r="G20" s="5" t="s">
        <v>27</v>
      </c>
      <c r="H20" s="5" t="s">
        <v>121</v>
      </c>
      <c r="I20" s="5" t="s">
        <v>122</v>
      </c>
      <c r="J20" s="5">
        <v>63000</v>
      </c>
      <c r="K20" s="5">
        <v>0.09</v>
      </c>
      <c r="L20" s="5">
        <v>4</v>
      </c>
      <c r="M20" s="5">
        <v>0.93</v>
      </c>
      <c r="N20" s="5">
        <v>4</v>
      </c>
      <c r="O20" s="5" t="s">
        <v>170</v>
      </c>
      <c r="P20" s="5" t="s">
        <v>235</v>
      </c>
      <c r="Q20" s="5">
        <v>6</v>
      </c>
      <c r="R20" s="5" t="s">
        <v>56</v>
      </c>
      <c r="S20" s="6">
        <v>45301</v>
      </c>
      <c r="T20" s="5" t="s">
        <v>39</v>
      </c>
    </row>
    <row r="21" spans="1:20" x14ac:dyDescent="0.25">
      <c r="A21" s="5" t="s">
        <v>236</v>
      </c>
      <c r="B21" s="5" t="s">
        <v>237</v>
      </c>
      <c r="C21" s="5" t="s">
        <v>443</v>
      </c>
      <c r="D21" s="5" t="s">
        <v>238</v>
      </c>
      <c r="E21" s="6">
        <v>44669</v>
      </c>
      <c r="F21" s="6">
        <v>35840</v>
      </c>
      <c r="G21" s="5" t="s">
        <v>83</v>
      </c>
      <c r="H21" s="5" t="s">
        <v>164</v>
      </c>
      <c r="I21" s="5" t="s">
        <v>165</v>
      </c>
      <c r="J21" s="5">
        <v>41000</v>
      </c>
      <c r="K21" s="5">
        <v>0.05</v>
      </c>
      <c r="L21" s="5">
        <v>3.4</v>
      </c>
      <c r="M21" s="5">
        <v>0.86</v>
      </c>
      <c r="N21" s="5">
        <v>2</v>
      </c>
      <c r="O21" s="5" t="s">
        <v>54</v>
      </c>
      <c r="P21" s="5" t="s">
        <v>35</v>
      </c>
      <c r="Q21" s="5">
        <v>2</v>
      </c>
      <c r="R21" s="5" t="s">
        <v>91</v>
      </c>
      <c r="S21" s="6">
        <v>45122</v>
      </c>
      <c r="T21" s="5" t="s">
        <v>39</v>
      </c>
    </row>
    <row r="22" spans="1:20" x14ac:dyDescent="0.25">
      <c r="A22" s="5" t="s">
        <v>244</v>
      </c>
      <c r="B22" s="5" t="s">
        <v>245</v>
      </c>
      <c r="C22" s="5" t="s">
        <v>60</v>
      </c>
      <c r="D22" s="5" t="s">
        <v>246</v>
      </c>
      <c r="E22" s="6">
        <v>44438</v>
      </c>
      <c r="F22" s="6">
        <v>35034</v>
      </c>
      <c r="G22" s="5" t="s">
        <v>27</v>
      </c>
      <c r="H22" s="5" t="s">
        <v>134</v>
      </c>
      <c r="I22" s="5" t="s">
        <v>135</v>
      </c>
      <c r="J22" s="5">
        <v>46000</v>
      </c>
      <c r="K22" s="5">
        <v>0.06</v>
      </c>
      <c r="L22" s="5">
        <v>3.2</v>
      </c>
      <c r="M22" s="5">
        <v>0.85</v>
      </c>
      <c r="N22" s="5">
        <v>1</v>
      </c>
      <c r="O22" s="5" t="s">
        <v>71</v>
      </c>
      <c r="P22" s="5" t="s">
        <v>250</v>
      </c>
      <c r="Q22" s="5">
        <v>4</v>
      </c>
      <c r="R22" s="5" t="s">
        <v>446</v>
      </c>
      <c r="S22" s="6">
        <v>45122</v>
      </c>
      <c r="T22" s="5" t="s">
        <v>39</v>
      </c>
    </row>
    <row r="23" spans="1:20" x14ac:dyDescent="0.25">
      <c r="A23" s="5" t="s">
        <v>251</v>
      </c>
      <c r="B23" s="5" t="s">
        <v>252</v>
      </c>
      <c r="C23" s="5" t="s">
        <v>440</v>
      </c>
      <c r="D23" s="5" t="s">
        <v>451</v>
      </c>
      <c r="E23" s="6">
        <v>43912</v>
      </c>
      <c r="F23" s="6">
        <v>34515</v>
      </c>
      <c r="G23" s="5" t="s">
        <v>46</v>
      </c>
      <c r="H23" s="5" t="s">
        <v>47</v>
      </c>
      <c r="I23" s="5" t="s">
        <v>48</v>
      </c>
      <c r="J23" s="5">
        <v>56000</v>
      </c>
      <c r="K23" s="5">
        <v>7.0000000000000007E-2</v>
      </c>
      <c r="L23" s="5">
        <v>3.6</v>
      </c>
      <c r="M23" s="5">
        <v>0.89</v>
      </c>
      <c r="N23" s="5">
        <v>3</v>
      </c>
      <c r="O23" s="5" t="s">
        <v>142</v>
      </c>
      <c r="P23" s="5" t="s">
        <v>35</v>
      </c>
      <c r="Q23" s="5">
        <v>5</v>
      </c>
      <c r="R23" s="5" t="s">
        <v>441</v>
      </c>
      <c r="S23" s="6">
        <v>45122</v>
      </c>
      <c r="T23" s="5" t="s">
        <v>39</v>
      </c>
    </row>
    <row r="24" spans="1:20" x14ac:dyDescent="0.25">
      <c r="A24" s="5" t="s">
        <v>257</v>
      </c>
      <c r="B24" s="5" t="s">
        <v>258</v>
      </c>
      <c r="C24" s="5" t="s">
        <v>116</v>
      </c>
      <c r="D24" s="5" t="s">
        <v>259</v>
      </c>
      <c r="E24" s="6">
        <v>43419</v>
      </c>
      <c r="F24" s="6">
        <v>31667</v>
      </c>
      <c r="G24" s="5" t="s">
        <v>27</v>
      </c>
      <c r="H24" s="5" t="s">
        <v>28</v>
      </c>
      <c r="I24" s="5" t="s">
        <v>28</v>
      </c>
      <c r="J24" s="5">
        <v>71000</v>
      </c>
      <c r="K24" s="5">
        <v>0.1</v>
      </c>
      <c r="L24" s="5">
        <v>4.0999999999999996</v>
      </c>
      <c r="M24" s="5">
        <v>0.94</v>
      </c>
      <c r="N24" s="5">
        <v>4</v>
      </c>
      <c r="O24" s="5" t="s">
        <v>170</v>
      </c>
      <c r="P24" s="5" t="s">
        <v>35</v>
      </c>
      <c r="Q24" s="5">
        <v>9</v>
      </c>
      <c r="R24" s="5" t="s">
        <v>449</v>
      </c>
      <c r="S24" s="6">
        <v>45301</v>
      </c>
      <c r="T24" s="5" t="s">
        <v>39</v>
      </c>
    </row>
    <row r="25" spans="1:20" x14ac:dyDescent="0.25">
      <c r="A25" s="5" t="s">
        <v>265</v>
      </c>
      <c r="B25" s="5" t="s">
        <v>266</v>
      </c>
      <c r="C25" s="5" t="s">
        <v>79</v>
      </c>
      <c r="D25" s="5" t="s">
        <v>267</v>
      </c>
      <c r="E25" s="6">
        <v>44936</v>
      </c>
      <c r="F25" s="6">
        <v>36305</v>
      </c>
      <c r="G25" s="5" t="s">
        <v>83</v>
      </c>
      <c r="H25" s="5" t="s">
        <v>97</v>
      </c>
      <c r="I25" s="5" t="s">
        <v>48</v>
      </c>
      <c r="J25" s="5">
        <v>35000</v>
      </c>
      <c r="K25" s="5">
        <v>0.04</v>
      </c>
      <c r="L25" s="5">
        <v>3.1</v>
      </c>
      <c r="M25" s="5">
        <v>0.83</v>
      </c>
      <c r="N25" s="5">
        <v>1</v>
      </c>
      <c r="O25" s="5" t="s">
        <v>90</v>
      </c>
      <c r="P25" s="5" t="s">
        <v>103</v>
      </c>
      <c r="Q25" s="5">
        <v>1</v>
      </c>
      <c r="R25" s="5" t="s">
        <v>273</v>
      </c>
      <c r="S25" s="6">
        <v>45122</v>
      </c>
      <c r="T25" s="5" t="s">
        <v>39</v>
      </c>
    </row>
    <row r="26" spans="1:20" x14ac:dyDescent="0.25">
      <c r="A26" s="5" t="s">
        <v>274</v>
      </c>
      <c r="B26" s="5" t="s">
        <v>275</v>
      </c>
      <c r="C26" s="5" t="s">
        <v>440</v>
      </c>
      <c r="D26" s="5" t="s">
        <v>276</v>
      </c>
      <c r="E26" s="6">
        <v>43654</v>
      </c>
      <c r="F26" s="6">
        <v>33710</v>
      </c>
      <c r="G26" s="5" t="s">
        <v>27</v>
      </c>
      <c r="H26" s="5" t="s">
        <v>84</v>
      </c>
      <c r="I26" s="5" t="s">
        <v>85</v>
      </c>
      <c r="J26" s="5">
        <v>82000</v>
      </c>
      <c r="K26" s="5">
        <v>0.11</v>
      </c>
      <c r="L26" s="5">
        <v>4.2</v>
      </c>
      <c r="M26" s="5">
        <v>0.95</v>
      </c>
      <c r="N26" s="5">
        <v>5</v>
      </c>
      <c r="O26" s="5" t="s">
        <v>142</v>
      </c>
      <c r="P26" s="5" t="s">
        <v>35</v>
      </c>
      <c r="Q26" s="5">
        <v>7</v>
      </c>
      <c r="R26" s="5" t="s">
        <v>448</v>
      </c>
      <c r="S26" s="6">
        <v>45301</v>
      </c>
      <c r="T26" s="5" t="s">
        <v>39</v>
      </c>
    </row>
    <row r="27" spans="1:20" x14ac:dyDescent="0.25">
      <c r="A27" s="5" t="s">
        <v>280</v>
      </c>
      <c r="B27" s="5" t="s">
        <v>34</v>
      </c>
      <c r="C27" s="5" t="s">
        <v>440</v>
      </c>
      <c r="D27" s="5" t="s">
        <v>452</v>
      </c>
      <c r="E27" s="6">
        <v>42750</v>
      </c>
      <c r="F27" s="6">
        <v>30872</v>
      </c>
      <c r="G27" s="5" t="s">
        <v>27</v>
      </c>
      <c r="H27" s="5" t="s">
        <v>64</v>
      </c>
      <c r="I27" s="5" t="s">
        <v>284</v>
      </c>
      <c r="J27" s="5">
        <v>105000</v>
      </c>
      <c r="K27" s="5">
        <v>0.14000000000000001</v>
      </c>
      <c r="L27" s="5">
        <v>4.5</v>
      </c>
      <c r="M27" s="5">
        <v>0.97</v>
      </c>
      <c r="N27" s="5">
        <v>8</v>
      </c>
      <c r="O27" s="5" t="s">
        <v>112</v>
      </c>
      <c r="P27" s="5" t="s">
        <v>35</v>
      </c>
      <c r="Q27" s="5">
        <v>11</v>
      </c>
      <c r="R27" s="5" t="s">
        <v>448</v>
      </c>
      <c r="S27" s="6">
        <v>45301</v>
      </c>
      <c r="T27" s="5" t="s">
        <v>39</v>
      </c>
    </row>
    <row r="28" spans="1:20" x14ac:dyDescent="0.25">
      <c r="A28" s="5" t="s">
        <v>287</v>
      </c>
      <c r="B28" s="5" t="s">
        <v>453</v>
      </c>
      <c r="C28" s="5" t="s">
        <v>79</v>
      </c>
      <c r="D28" s="5" t="s">
        <v>454</v>
      </c>
      <c r="E28" s="6">
        <v>44809</v>
      </c>
      <c r="F28" s="6">
        <v>35452</v>
      </c>
      <c r="G28" s="5" t="s">
        <v>83</v>
      </c>
      <c r="H28" s="5" t="s">
        <v>47</v>
      </c>
      <c r="I28" s="5" t="s">
        <v>293</v>
      </c>
      <c r="J28" s="5">
        <v>44000</v>
      </c>
      <c r="K28" s="5">
        <v>0.05</v>
      </c>
      <c r="L28" s="5">
        <v>3.3</v>
      </c>
      <c r="M28" s="5">
        <v>0.84</v>
      </c>
      <c r="N28" s="5">
        <v>2</v>
      </c>
      <c r="O28" s="5" t="s">
        <v>90</v>
      </c>
      <c r="P28" s="5" t="s">
        <v>35</v>
      </c>
      <c r="Q28" s="5">
        <v>2</v>
      </c>
      <c r="R28" s="5" t="s">
        <v>91</v>
      </c>
      <c r="S28" s="6">
        <v>45122</v>
      </c>
      <c r="T28" s="5" t="s">
        <v>39</v>
      </c>
    </row>
    <row r="29" spans="1:20" x14ac:dyDescent="0.25">
      <c r="A29" s="5" t="s">
        <v>296</v>
      </c>
      <c r="B29" s="5" t="s">
        <v>297</v>
      </c>
      <c r="C29" s="5" t="s">
        <v>60</v>
      </c>
      <c r="D29" s="5" t="s">
        <v>298</v>
      </c>
      <c r="E29" s="6">
        <v>44032</v>
      </c>
      <c r="F29" s="6">
        <v>34250</v>
      </c>
      <c r="G29" s="5" t="s">
        <v>120</v>
      </c>
      <c r="H29" s="5" t="s">
        <v>28</v>
      </c>
      <c r="I29" s="5" t="s">
        <v>301</v>
      </c>
      <c r="J29" s="5">
        <v>67000</v>
      </c>
      <c r="K29" s="5">
        <v>0.09</v>
      </c>
      <c r="L29" s="5">
        <v>3.9</v>
      </c>
      <c r="M29" s="5">
        <v>0.91</v>
      </c>
      <c r="N29" s="5">
        <v>3</v>
      </c>
      <c r="O29" s="5" t="s">
        <v>71</v>
      </c>
      <c r="P29" s="5" t="s">
        <v>35</v>
      </c>
      <c r="Q29" s="5">
        <v>5</v>
      </c>
      <c r="R29" s="5" t="s">
        <v>56</v>
      </c>
      <c r="S29" s="6">
        <v>45122</v>
      </c>
      <c r="T29" s="5" t="s">
        <v>39</v>
      </c>
    </row>
    <row r="30" spans="1:20" x14ac:dyDescent="0.25">
      <c r="A30" s="5" t="s">
        <v>305</v>
      </c>
      <c r="B30" s="5" t="s">
        <v>306</v>
      </c>
      <c r="C30" s="5" t="s">
        <v>443</v>
      </c>
      <c r="D30" s="5" t="s">
        <v>307</v>
      </c>
      <c r="E30" s="6">
        <v>42880</v>
      </c>
      <c r="F30" s="6">
        <v>31764</v>
      </c>
      <c r="G30" s="5" t="s">
        <v>83</v>
      </c>
      <c r="H30" s="5" t="s">
        <v>121</v>
      </c>
      <c r="I30" s="5" t="s">
        <v>122</v>
      </c>
      <c r="J30" s="5">
        <v>76000</v>
      </c>
      <c r="K30" s="5">
        <v>0.11</v>
      </c>
      <c r="L30" s="5">
        <v>4.2</v>
      </c>
      <c r="M30" s="5">
        <v>0.95</v>
      </c>
      <c r="N30" s="5">
        <v>5</v>
      </c>
      <c r="O30" s="5" t="s">
        <v>54</v>
      </c>
      <c r="P30" s="5" t="s">
        <v>35</v>
      </c>
      <c r="Q30" s="5">
        <v>10</v>
      </c>
      <c r="R30" s="5" t="s">
        <v>56</v>
      </c>
      <c r="S30" s="6">
        <v>45301</v>
      </c>
      <c r="T30" s="5" t="s">
        <v>39</v>
      </c>
    </row>
    <row r="31" spans="1:20" x14ac:dyDescent="0.25">
      <c r="A31" s="5" t="s">
        <v>311</v>
      </c>
      <c r="B31" s="5" t="s">
        <v>312</v>
      </c>
      <c r="C31" s="5" t="s">
        <v>116</v>
      </c>
      <c r="D31" s="5" t="s">
        <v>313</v>
      </c>
      <c r="E31" s="6">
        <v>44510</v>
      </c>
      <c r="F31" s="6">
        <v>34785</v>
      </c>
      <c r="G31" s="5" t="s">
        <v>27</v>
      </c>
      <c r="H31" s="5" t="s">
        <v>164</v>
      </c>
      <c r="I31" s="5" t="s">
        <v>165</v>
      </c>
      <c r="J31" s="5">
        <v>53000</v>
      </c>
      <c r="K31" s="5">
        <v>7.0000000000000007E-2</v>
      </c>
      <c r="L31" s="5">
        <v>3.5</v>
      </c>
      <c r="M31" s="5">
        <v>0.87</v>
      </c>
      <c r="N31" s="5">
        <v>2</v>
      </c>
      <c r="O31" s="5" t="s">
        <v>170</v>
      </c>
      <c r="P31" s="5" t="s">
        <v>35</v>
      </c>
      <c r="Q31" s="5">
        <v>4</v>
      </c>
      <c r="R31" s="5" t="s">
        <v>317</v>
      </c>
      <c r="S31" s="6">
        <v>45122</v>
      </c>
      <c r="T31" s="5" t="s">
        <v>39</v>
      </c>
    </row>
    <row r="32" spans="1:20" x14ac:dyDescent="0.25">
      <c r="A32" s="5" t="s">
        <v>336</v>
      </c>
      <c r="B32" s="5" t="s">
        <v>337</v>
      </c>
      <c r="C32" s="5" t="s">
        <v>79</v>
      </c>
      <c r="D32" s="5" t="s">
        <v>338</v>
      </c>
      <c r="E32" s="6">
        <v>43689</v>
      </c>
      <c r="F32" s="6">
        <v>33275</v>
      </c>
      <c r="G32" s="5" t="s">
        <v>46</v>
      </c>
      <c r="H32" s="5" t="s">
        <v>64</v>
      </c>
      <c r="I32" s="5" t="s">
        <v>65</v>
      </c>
      <c r="J32" s="5">
        <v>74000</v>
      </c>
      <c r="K32" s="5">
        <v>0.1</v>
      </c>
      <c r="L32" s="5">
        <v>4</v>
      </c>
      <c r="M32" s="5">
        <v>0.93</v>
      </c>
      <c r="N32" s="5">
        <v>4</v>
      </c>
      <c r="O32" s="5" t="s">
        <v>90</v>
      </c>
      <c r="P32" s="5" t="s">
        <v>35</v>
      </c>
      <c r="Q32" s="5">
        <v>7</v>
      </c>
      <c r="R32" s="5" t="s">
        <v>56</v>
      </c>
      <c r="S32" s="6">
        <v>45301</v>
      </c>
      <c r="T32" s="5" t="s">
        <v>39</v>
      </c>
    </row>
    <row r="33" spans="1:20" x14ac:dyDescent="0.25">
      <c r="A33" s="5" t="s">
        <v>342</v>
      </c>
      <c r="B33" s="5" t="s">
        <v>343</v>
      </c>
      <c r="C33" s="5" t="s">
        <v>440</v>
      </c>
      <c r="D33" s="5" t="s">
        <v>344</v>
      </c>
      <c r="E33" s="6">
        <v>44896</v>
      </c>
      <c r="F33" s="6">
        <v>36113</v>
      </c>
      <c r="G33" s="5" t="s">
        <v>27</v>
      </c>
      <c r="H33" s="5" t="s">
        <v>97</v>
      </c>
      <c r="I33" s="5" t="s">
        <v>48</v>
      </c>
      <c r="J33" s="5">
        <v>45000</v>
      </c>
      <c r="K33" s="5">
        <v>0.05</v>
      </c>
      <c r="L33" s="5">
        <v>3.2</v>
      </c>
      <c r="M33" s="5">
        <v>0.84</v>
      </c>
      <c r="N33" s="5">
        <v>1</v>
      </c>
      <c r="O33" s="5" t="s">
        <v>142</v>
      </c>
      <c r="P33" s="5" t="s">
        <v>348</v>
      </c>
      <c r="Q33" s="5">
        <v>2</v>
      </c>
      <c r="R33" s="5" t="s">
        <v>441</v>
      </c>
      <c r="S33" s="6">
        <v>45122</v>
      </c>
      <c r="T33" s="5" t="s">
        <v>39</v>
      </c>
    </row>
    <row r="34" spans="1:20" x14ac:dyDescent="0.25">
      <c r="A34" s="5" t="s">
        <v>92</v>
      </c>
      <c r="B34" s="5" t="s">
        <v>93</v>
      </c>
      <c r="C34" s="5" t="s">
        <v>440</v>
      </c>
      <c r="D34" s="5" t="s">
        <v>94</v>
      </c>
      <c r="E34" s="6">
        <v>44747</v>
      </c>
      <c r="F34" s="6">
        <v>36055</v>
      </c>
      <c r="G34" s="5" t="s">
        <v>27</v>
      </c>
      <c r="H34" s="5" t="s">
        <v>97</v>
      </c>
      <c r="I34" s="5" t="s">
        <v>48</v>
      </c>
      <c r="J34" s="5">
        <v>42000</v>
      </c>
      <c r="K34" s="5">
        <v>0.05</v>
      </c>
      <c r="L34" s="5">
        <v>3.2</v>
      </c>
      <c r="M34" s="5">
        <v>0.85</v>
      </c>
      <c r="N34" s="5">
        <v>1</v>
      </c>
      <c r="O34" s="5" t="s">
        <v>34</v>
      </c>
      <c r="P34" s="5" t="s">
        <v>103</v>
      </c>
      <c r="Q34" s="5">
        <v>2</v>
      </c>
      <c r="R34" s="5" t="s">
        <v>441</v>
      </c>
      <c r="S34" s="6">
        <v>45122</v>
      </c>
      <c r="T34" s="5" t="s">
        <v>39</v>
      </c>
    </row>
    <row r="35" spans="1:20" x14ac:dyDescent="0.25">
      <c r="A35" s="5" t="s">
        <v>349</v>
      </c>
      <c r="B35" s="5" t="s">
        <v>54</v>
      </c>
      <c r="C35" s="5" t="s">
        <v>443</v>
      </c>
      <c r="D35" s="5" t="s">
        <v>447</v>
      </c>
      <c r="E35" s="6">
        <v>42106</v>
      </c>
      <c r="F35" s="6">
        <v>29981</v>
      </c>
      <c r="G35" s="5" t="s">
        <v>351</v>
      </c>
      <c r="H35" s="5" t="s">
        <v>28</v>
      </c>
      <c r="I35" s="5" t="s">
        <v>28</v>
      </c>
      <c r="J35" s="5">
        <v>120000</v>
      </c>
      <c r="K35" s="5">
        <v>0.15</v>
      </c>
      <c r="L35" s="5">
        <v>4.7</v>
      </c>
      <c r="M35" s="5">
        <v>0.98</v>
      </c>
      <c r="N35" s="5">
        <v>6</v>
      </c>
      <c r="O35" s="5" t="s">
        <v>112</v>
      </c>
      <c r="P35" s="5" t="s">
        <v>35</v>
      </c>
      <c r="Q35" s="5">
        <v>14</v>
      </c>
      <c r="R35" s="5" t="s">
        <v>56</v>
      </c>
      <c r="S35" s="6">
        <v>45301</v>
      </c>
      <c r="T35" s="5" t="s">
        <v>39</v>
      </c>
    </row>
    <row r="36" spans="1:20" x14ac:dyDescent="0.25">
      <c r="A36" s="5" t="s">
        <v>352</v>
      </c>
      <c r="B36" s="5" t="s">
        <v>353</v>
      </c>
      <c r="C36" s="5" t="s">
        <v>116</v>
      </c>
      <c r="D36" s="5" t="s">
        <v>354</v>
      </c>
      <c r="E36" s="6">
        <v>42539</v>
      </c>
      <c r="F36" s="6">
        <v>30557</v>
      </c>
      <c r="G36" s="5" t="s">
        <v>27</v>
      </c>
      <c r="H36" s="5" t="s">
        <v>210</v>
      </c>
      <c r="I36" s="5" t="s">
        <v>357</v>
      </c>
      <c r="J36" s="5">
        <v>80000</v>
      </c>
      <c r="K36" s="5">
        <v>0.11</v>
      </c>
      <c r="L36" s="5">
        <v>4.2</v>
      </c>
      <c r="M36" s="5">
        <v>0.94</v>
      </c>
      <c r="N36" s="5">
        <v>5</v>
      </c>
      <c r="O36" s="5" t="s">
        <v>170</v>
      </c>
      <c r="P36" s="5" t="s">
        <v>35</v>
      </c>
      <c r="Q36" s="5">
        <v>11</v>
      </c>
      <c r="R36" s="5" t="s">
        <v>317</v>
      </c>
      <c r="S36" s="6">
        <v>45301</v>
      </c>
      <c r="T36" s="5" t="s">
        <v>39</v>
      </c>
    </row>
    <row r="37" spans="1:20" x14ac:dyDescent="0.25">
      <c r="A37" s="5" t="s">
        <v>359</v>
      </c>
      <c r="B37" s="5" t="s">
        <v>360</v>
      </c>
      <c r="C37" s="5" t="s">
        <v>440</v>
      </c>
      <c r="D37" s="5" t="s">
        <v>455</v>
      </c>
      <c r="E37" s="6">
        <v>44308</v>
      </c>
      <c r="F37" s="6">
        <v>34860</v>
      </c>
      <c r="G37" s="5" t="s">
        <v>83</v>
      </c>
      <c r="H37" s="5" t="s">
        <v>84</v>
      </c>
      <c r="I37" s="5" t="s">
        <v>364</v>
      </c>
      <c r="J37" s="5">
        <v>60000</v>
      </c>
      <c r="K37" s="5">
        <v>0.08</v>
      </c>
      <c r="L37" s="5">
        <v>3.8</v>
      </c>
      <c r="M37" s="5">
        <v>0.9</v>
      </c>
      <c r="N37" s="5">
        <v>3</v>
      </c>
      <c r="O37" s="5" t="s">
        <v>142</v>
      </c>
      <c r="P37" s="5" t="s">
        <v>35</v>
      </c>
      <c r="Q37" s="5">
        <v>4</v>
      </c>
      <c r="R37" s="5" t="s">
        <v>456</v>
      </c>
      <c r="S37" s="6">
        <v>45122</v>
      </c>
      <c r="T37" s="5" t="s">
        <v>39</v>
      </c>
    </row>
    <row r="38" spans="1:20" x14ac:dyDescent="0.25">
      <c r="A38" s="5" t="s">
        <v>367</v>
      </c>
      <c r="B38" s="5" t="s">
        <v>368</v>
      </c>
      <c r="C38" s="5" t="s">
        <v>60</v>
      </c>
      <c r="D38" s="5" t="s">
        <v>369</v>
      </c>
      <c r="E38" s="6">
        <v>45078</v>
      </c>
      <c r="F38" s="6">
        <v>36772</v>
      </c>
      <c r="G38" s="5" t="s">
        <v>27</v>
      </c>
      <c r="H38" s="5" t="s">
        <v>28</v>
      </c>
      <c r="I38" s="5" t="s">
        <v>372</v>
      </c>
      <c r="J38" s="5">
        <v>39000</v>
      </c>
      <c r="K38" s="5">
        <v>0.04</v>
      </c>
      <c r="L38" s="5">
        <v>3</v>
      </c>
      <c r="M38" s="5">
        <v>0.81</v>
      </c>
      <c r="N38" s="5">
        <v>1</v>
      </c>
      <c r="O38" s="5" t="s">
        <v>71</v>
      </c>
      <c r="P38" s="5" t="s">
        <v>103</v>
      </c>
      <c r="Q38" s="5">
        <v>1</v>
      </c>
      <c r="R38" s="5" t="s">
        <v>446</v>
      </c>
      <c r="S38" s="6">
        <v>45122</v>
      </c>
      <c r="T38" s="5" t="s">
        <v>39</v>
      </c>
    </row>
    <row r="39" spans="1:20" x14ac:dyDescent="0.25">
      <c r="A39" s="5" t="s">
        <v>375</v>
      </c>
      <c r="B39" s="5" t="s">
        <v>376</v>
      </c>
      <c r="C39" s="5" t="s">
        <v>443</v>
      </c>
      <c r="D39" s="5" t="s">
        <v>457</v>
      </c>
      <c r="E39" s="6">
        <v>44053</v>
      </c>
      <c r="F39" s="6">
        <v>34073</v>
      </c>
      <c r="G39" s="5" t="s">
        <v>46</v>
      </c>
      <c r="H39" s="5" t="s">
        <v>47</v>
      </c>
      <c r="I39" s="5" t="s">
        <v>48</v>
      </c>
      <c r="J39" s="5">
        <v>53000</v>
      </c>
      <c r="K39" s="5">
        <v>7.0000000000000007E-2</v>
      </c>
      <c r="L39" s="5">
        <v>3.7</v>
      </c>
      <c r="M39" s="5">
        <v>0.91</v>
      </c>
      <c r="N39" s="5">
        <v>3</v>
      </c>
      <c r="O39" s="5" t="s">
        <v>54</v>
      </c>
      <c r="P39" s="5" t="s">
        <v>235</v>
      </c>
      <c r="Q39" s="5">
        <v>5</v>
      </c>
      <c r="R39" s="5" t="s">
        <v>56</v>
      </c>
      <c r="S39" s="6">
        <v>45122</v>
      </c>
      <c r="T39" s="5" t="s">
        <v>39</v>
      </c>
    </row>
    <row r="40" spans="1:20" x14ac:dyDescent="0.25">
      <c r="A40" s="5" t="s">
        <v>380</v>
      </c>
      <c r="B40" s="5" t="s">
        <v>381</v>
      </c>
      <c r="C40" s="5" t="s">
        <v>79</v>
      </c>
      <c r="D40" s="5" t="s">
        <v>382</v>
      </c>
      <c r="E40" s="6">
        <v>44627</v>
      </c>
      <c r="F40" s="6">
        <v>35366</v>
      </c>
      <c r="G40" s="5" t="s">
        <v>27</v>
      </c>
      <c r="H40" s="5" t="s">
        <v>97</v>
      </c>
      <c r="I40" s="5" t="s">
        <v>48</v>
      </c>
      <c r="J40" s="5">
        <v>48000</v>
      </c>
      <c r="K40" s="5">
        <v>0.06</v>
      </c>
      <c r="L40" s="5">
        <v>3.5</v>
      </c>
      <c r="M40" s="5">
        <v>0.88</v>
      </c>
      <c r="N40" s="5">
        <v>2</v>
      </c>
      <c r="O40" s="5" t="s">
        <v>90</v>
      </c>
      <c r="P40" s="5" t="s">
        <v>35</v>
      </c>
      <c r="Q40" s="5">
        <v>3</v>
      </c>
      <c r="R40" s="5" t="s">
        <v>91</v>
      </c>
      <c r="S40" s="6">
        <v>45122</v>
      </c>
      <c r="T40" s="5" t="s">
        <v>39</v>
      </c>
    </row>
    <row r="41" spans="1:20" x14ac:dyDescent="0.25">
      <c r="A41" s="5" t="s">
        <v>385</v>
      </c>
      <c r="B41" s="5" t="s">
        <v>386</v>
      </c>
      <c r="C41" s="5" t="s">
        <v>116</v>
      </c>
      <c r="D41" s="5" t="s">
        <v>387</v>
      </c>
      <c r="E41" s="6">
        <v>43368</v>
      </c>
      <c r="F41" s="6">
        <v>32705</v>
      </c>
      <c r="G41" s="5" t="s">
        <v>83</v>
      </c>
      <c r="H41" s="5" t="s">
        <v>121</v>
      </c>
      <c r="I41" s="5" t="s">
        <v>122</v>
      </c>
      <c r="J41" s="5">
        <v>57000</v>
      </c>
      <c r="K41" s="5">
        <v>0.08</v>
      </c>
      <c r="L41" s="5">
        <v>3.9</v>
      </c>
      <c r="M41" s="5">
        <v>0.92</v>
      </c>
      <c r="N41" s="5">
        <v>3</v>
      </c>
      <c r="O41" s="5" t="s">
        <v>170</v>
      </c>
      <c r="P41" s="5" t="s">
        <v>35</v>
      </c>
      <c r="Q41" s="5">
        <v>8</v>
      </c>
      <c r="R41" s="5" t="s">
        <v>449</v>
      </c>
      <c r="S41" s="6">
        <v>45122</v>
      </c>
      <c r="T41" s="5" t="s">
        <v>39</v>
      </c>
    </row>
    <row r="42" spans="1:20" x14ac:dyDescent="0.25">
      <c r="A42" s="5" t="s">
        <v>391</v>
      </c>
      <c r="B42" s="5" t="s">
        <v>392</v>
      </c>
      <c r="C42" s="5" t="s">
        <v>440</v>
      </c>
      <c r="D42" s="5" t="s">
        <v>458</v>
      </c>
      <c r="E42" s="6">
        <v>43997</v>
      </c>
      <c r="F42" s="6">
        <v>33685</v>
      </c>
      <c r="G42" s="5" t="s">
        <v>27</v>
      </c>
      <c r="H42" s="5" t="s">
        <v>64</v>
      </c>
      <c r="I42" s="5" t="s">
        <v>65</v>
      </c>
      <c r="J42" s="5">
        <v>78000</v>
      </c>
      <c r="K42" s="5">
        <v>0.1</v>
      </c>
      <c r="L42" s="5">
        <v>4.0999999999999996</v>
      </c>
      <c r="M42" s="5">
        <v>0.94</v>
      </c>
      <c r="N42" s="5">
        <v>4</v>
      </c>
      <c r="O42" s="5" t="s">
        <v>34</v>
      </c>
      <c r="P42" s="5" t="s">
        <v>35</v>
      </c>
      <c r="Q42" s="5">
        <v>6</v>
      </c>
      <c r="R42" s="5" t="s">
        <v>448</v>
      </c>
      <c r="S42" s="6">
        <v>45301</v>
      </c>
      <c r="T42" s="5" t="s">
        <v>39</v>
      </c>
    </row>
    <row r="43" spans="1:20" x14ac:dyDescent="0.25">
      <c r="A43" s="5" t="s">
        <v>396</v>
      </c>
      <c r="B43" s="5" t="s">
        <v>397</v>
      </c>
      <c r="C43" s="5" t="s">
        <v>60</v>
      </c>
      <c r="D43" s="5" t="s">
        <v>398</v>
      </c>
      <c r="E43" s="6">
        <v>43766</v>
      </c>
      <c r="F43" s="6">
        <v>33375</v>
      </c>
      <c r="G43" s="5" t="s">
        <v>46</v>
      </c>
      <c r="H43" s="5" t="s">
        <v>134</v>
      </c>
      <c r="I43" s="5" t="s">
        <v>135</v>
      </c>
      <c r="J43" s="5">
        <v>69000</v>
      </c>
      <c r="K43" s="5">
        <v>0.09</v>
      </c>
      <c r="L43" s="5">
        <v>3.9</v>
      </c>
      <c r="M43" s="5">
        <v>0.92</v>
      </c>
      <c r="N43" s="5">
        <v>3</v>
      </c>
      <c r="O43" s="5" t="s">
        <v>71</v>
      </c>
      <c r="P43" s="5" t="s">
        <v>35</v>
      </c>
      <c r="Q43" s="5">
        <v>6</v>
      </c>
      <c r="R43" s="5" t="s">
        <v>56</v>
      </c>
      <c r="S43" s="6">
        <v>45301</v>
      </c>
      <c r="T43" s="5" t="s">
        <v>39</v>
      </c>
    </row>
    <row r="44" spans="1:20" x14ac:dyDescent="0.25">
      <c r="A44" s="5" t="s">
        <v>402</v>
      </c>
      <c r="B44" s="5" t="s">
        <v>403</v>
      </c>
      <c r="C44" s="5" t="s">
        <v>443</v>
      </c>
      <c r="D44" s="5" t="s">
        <v>404</v>
      </c>
      <c r="E44" s="6">
        <v>44389</v>
      </c>
      <c r="F44" s="6">
        <v>34677</v>
      </c>
      <c r="G44" s="5" t="s">
        <v>27</v>
      </c>
      <c r="H44" s="5" t="s">
        <v>28</v>
      </c>
      <c r="I44" s="5" t="s">
        <v>28</v>
      </c>
      <c r="J44" s="5">
        <v>51000</v>
      </c>
      <c r="K44" s="5">
        <v>7.0000000000000007E-2</v>
      </c>
      <c r="L44" s="5">
        <v>3.6</v>
      </c>
      <c r="M44" s="5">
        <v>0.89</v>
      </c>
      <c r="N44" s="5">
        <v>2</v>
      </c>
      <c r="O44" s="5" t="s">
        <v>54</v>
      </c>
      <c r="P44" s="5" t="s">
        <v>35</v>
      </c>
      <c r="Q44" s="5">
        <v>4</v>
      </c>
      <c r="R44" s="5" t="s">
        <v>56</v>
      </c>
      <c r="S44" s="6">
        <v>45122</v>
      </c>
      <c r="T44" s="5" t="s">
        <v>407</v>
      </c>
    </row>
    <row r="45" spans="1:20" x14ac:dyDescent="0.25">
      <c r="A45" s="5" t="s">
        <v>408</v>
      </c>
      <c r="B45" s="5" t="s">
        <v>409</v>
      </c>
      <c r="C45" s="5" t="s">
        <v>79</v>
      </c>
      <c r="D45" s="5" t="s">
        <v>410</v>
      </c>
      <c r="E45" s="6">
        <v>44885</v>
      </c>
      <c r="F45" s="6">
        <v>35886</v>
      </c>
      <c r="G45" s="5" t="s">
        <v>83</v>
      </c>
      <c r="H45" s="5" t="s">
        <v>164</v>
      </c>
      <c r="I45" s="5" t="s">
        <v>413</v>
      </c>
      <c r="J45" s="5">
        <v>43000</v>
      </c>
      <c r="K45" s="5">
        <v>0.05</v>
      </c>
      <c r="L45" s="5">
        <v>3.3</v>
      </c>
      <c r="M45" s="5">
        <v>0.85</v>
      </c>
      <c r="N45" s="5">
        <v>2</v>
      </c>
      <c r="O45" s="5" t="s">
        <v>90</v>
      </c>
      <c r="P45" s="5" t="s">
        <v>103</v>
      </c>
      <c r="Q45" s="5">
        <v>2</v>
      </c>
      <c r="R45" s="5" t="s">
        <v>91</v>
      </c>
      <c r="S45" s="6">
        <v>45122</v>
      </c>
      <c r="T45" s="5" t="s">
        <v>39</v>
      </c>
    </row>
    <row r="46" spans="1:20" x14ac:dyDescent="0.25">
      <c r="A46" s="5" t="s">
        <v>415</v>
      </c>
      <c r="B46" s="5" t="s">
        <v>416</v>
      </c>
      <c r="C46" s="5" t="s">
        <v>116</v>
      </c>
      <c r="D46" s="5" t="s">
        <v>417</v>
      </c>
      <c r="E46" s="6">
        <v>43073</v>
      </c>
      <c r="F46" s="6">
        <v>31009</v>
      </c>
      <c r="G46" s="5" t="s">
        <v>27</v>
      </c>
      <c r="H46" s="5" t="s">
        <v>84</v>
      </c>
      <c r="I46" s="5" t="s">
        <v>85</v>
      </c>
      <c r="J46" s="5">
        <v>83000</v>
      </c>
      <c r="K46" s="5">
        <v>0.11</v>
      </c>
      <c r="L46" s="5">
        <v>4.3</v>
      </c>
      <c r="M46" s="5">
        <v>0.95</v>
      </c>
      <c r="N46" s="5">
        <v>5</v>
      </c>
      <c r="O46" s="5" t="s">
        <v>170</v>
      </c>
      <c r="P46" s="5" t="s">
        <v>35</v>
      </c>
      <c r="Q46" s="5">
        <v>10</v>
      </c>
      <c r="R46" s="5" t="s">
        <v>56</v>
      </c>
      <c r="S46" s="6">
        <v>45301</v>
      </c>
      <c r="T46" s="5" t="s">
        <v>39</v>
      </c>
    </row>
    <row r="47" spans="1:20" x14ac:dyDescent="0.25">
      <c r="A47" s="5" t="s">
        <v>421</v>
      </c>
      <c r="B47" s="5" t="s">
        <v>422</v>
      </c>
      <c r="C47" s="5" t="s">
        <v>440</v>
      </c>
      <c r="D47" s="5" t="s">
        <v>423</v>
      </c>
      <c r="E47" s="6">
        <v>43564</v>
      </c>
      <c r="F47" s="6">
        <v>33091</v>
      </c>
      <c r="G47" s="5" t="s">
        <v>83</v>
      </c>
      <c r="H47" s="5" t="s">
        <v>47</v>
      </c>
      <c r="I47" s="5" t="s">
        <v>48</v>
      </c>
      <c r="J47" s="5">
        <v>73000</v>
      </c>
      <c r="K47" s="5">
        <v>0.1</v>
      </c>
      <c r="L47" s="5">
        <v>4</v>
      </c>
      <c r="M47" s="5">
        <v>0.93</v>
      </c>
      <c r="N47" s="5">
        <v>4</v>
      </c>
      <c r="O47" s="5" t="s">
        <v>34</v>
      </c>
      <c r="P47" s="5" t="s">
        <v>35</v>
      </c>
      <c r="Q47" s="5">
        <v>7</v>
      </c>
      <c r="R47" s="5" t="s">
        <v>56</v>
      </c>
      <c r="S47" s="6">
        <v>45301</v>
      </c>
      <c r="T47" s="5" t="s">
        <v>39</v>
      </c>
    </row>
    <row r="48" spans="1:20" x14ac:dyDescent="0.25">
      <c r="A48" s="5" t="s">
        <v>427</v>
      </c>
      <c r="B48" s="5" t="s">
        <v>428</v>
      </c>
      <c r="C48" s="5" t="s">
        <v>60</v>
      </c>
      <c r="D48" s="5" t="s">
        <v>429</v>
      </c>
      <c r="E48" s="6">
        <v>44179</v>
      </c>
      <c r="F48" s="6">
        <v>34139</v>
      </c>
      <c r="G48" s="5" t="s">
        <v>27</v>
      </c>
      <c r="H48" s="5" t="s">
        <v>97</v>
      </c>
      <c r="I48" s="5" t="s">
        <v>48</v>
      </c>
      <c r="J48" s="5">
        <v>64000</v>
      </c>
      <c r="K48" s="5">
        <v>0.09</v>
      </c>
      <c r="L48" s="5">
        <v>3.8</v>
      </c>
      <c r="M48" s="5">
        <v>0.91</v>
      </c>
      <c r="N48" s="5">
        <v>3</v>
      </c>
      <c r="O48" s="5" t="s">
        <v>71</v>
      </c>
      <c r="P48" s="5" t="s">
        <v>35</v>
      </c>
      <c r="Q48" s="5">
        <v>5</v>
      </c>
      <c r="R48" s="5" t="s">
        <v>56</v>
      </c>
      <c r="S48" s="6">
        <v>45122</v>
      </c>
      <c r="T48" s="5" t="s">
        <v>39</v>
      </c>
    </row>
    <row r="49" spans="1:20" x14ac:dyDescent="0.25">
      <c r="A49" s="5" t="s">
        <v>433</v>
      </c>
      <c r="B49" s="5" t="s">
        <v>434</v>
      </c>
      <c r="C49" s="5" t="s">
        <v>443</v>
      </c>
      <c r="D49" s="5" t="s">
        <v>459</v>
      </c>
      <c r="E49" s="6">
        <v>42457</v>
      </c>
      <c r="F49" s="6">
        <v>31301</v>
      </c>
      <c r="G49" s="5" t="s">
        <v>46</v>
      </c>
      <c r="H49" s="5" t="s">
        <v>64</v>
      </c>
      <c r="I49" s="5" t="s">
        <v>65</v>
      </c>
      <c r="J49" s="5">
        <v>86000</v>
      </c>
      <c r="K49" s="5">
        <v>0.12</v>
      </c>
      <c r="L49" s="5">
        <v>4.3</v>
      </c>
      <c r="M49" s="5">
        <v>0.96</v>
      </c>
      <c r="N49" s="5">
        <v>5</v>
      </c>
      <c r="O49" s="5" t="s">
        <v>54</v>
      </c>
      <c r="P49" s="5" t="s">
        <v>35</v>
      </c>
      <c r="Q49" s="5">
        <v>11</v>
      </c>
      <c r="R49" s="5" t="s">
        <v>56</v>
      </c>
      <c r="S49" s="6">
        <v>45301</v>
      </c>
      <c r="T49" s="5" t="s">
        <v>39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1610F-A531-4652-AD05-BA2FFC2039ED}">
  <dimension ref="C8:D14"/>
  <sheetViews>
    <sheetView workbookViewId="0">
      <selection activeCell="O18" sqref="O18"/>
    </sheetView>
  </sheetViews>
  <sheetFormatPr defaultRowHeight="15" x14ac:dyDescent="0.25"/>
  <cols>
    <col min="3" max="3" width="15.42578125" bestFit="1" customWidth="1"/>
    <col min="4" max="5" width="14.7109375" bestFit="1" customWidth="1"/>
  </cols>
  <sheetData>
    <row r="8" spans="3:4" x14ac:dyDescent="0.25">
      <c r="C8" s="9" t="s">
        <v>460</v>
      </c>
      <c r="D8" s="10" t="s">
        <v>462</v>
      </c>
    </row>
    <row r="9" spans="3:4" x14ac:dyDescent="0.25">
      <c r="C9" s="10" t="s">
        <v>60</v>
      </c>
      <c r="D9" s="11">
        <v>0.80999999999999994</v>
      </c>
    </row>
    <row r="10" spans="3:4" x14ac:dyDescent="0.25">
      <c r="C10" s="10" t="s">
        <v>443</v>
      </c>
      <c r="D10" s="11">
        <v>10.76</v>
      </c>
    </row>
    <row r="11" spans="3:4" x14ac:dyDescent="0.25">
      <c r="C11" s="10" t="s">
        <v>440</v>
      </c>
      <c r="D11" s="11">
        <v>1.1400000000000001</v>
      </c>
    </row>
    <row r="12" spans="3:4" x14ac:dyDescent="0.25">
      <c r="C12" s="10" t="s">
        <v>79</v>
      </c>
      <c r="D12" s="11">
        <v>0.73</v>
      </c>
    </row>
    <row r="13" spans="3:4" x14ac:dyDescent="0.25">
      <c r="C13" s="10" t="s">
        <v>116</v>
      </c>
      <c r="D13" s="11">
        <v>0.76</v>
      </c>
    </row>
    <row r="14" spans="3:4" x14ac:dyDescent="0.25">
      <c r="C14" s="10" t="s">
        <v>461</v>
      </c>
      <c r="D14" s="11">
        <v>14.200000000000001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25DCE-0E90-463F-A823-2D1DAA511110}">
  <dimension ref="C4:D9"/>
  <sheetViews>
    <sheetView workbookViewId="0">
      <selection activeCell="N18" sqref="N18"/>
    </sheetView>
  </sheetViews>
  <sheetFormatPr defaultRowHeight="15" x14ac:dyDescent="0.25"/>
  <cols>
    <col min="3" max="3" width="15.42578125" bestFit="1" customWidth="1"/>
    <col min="4" max="4" width="24" bestFit="1" customWidth="1"/>
  </cols>
  <sheetData>
    <row r="4" spans="3:4" x14ac:dyDescent="0.25">
      <c r="C4" s="9" t="s">
        <v>460</v>
      </c>
      <c r="D4" s="10" t="s">
        <v>463</v>
      </c>
    </row>
    <row r="5" spans="3:4" x14ac:dyDescent="0.25">
      <c r="C5" s="10" t="s">
        <v>103</v>
      </c>
      <c r="D5" s="11">
        <v>9</v>
      </c>
    </row>
    <row r="6" spans="3:4" x14ac:dyDescent="0.25">
      <c r="C6" s="10" t="s">
        <v>35</v>
      </c>
      <c r="D6" s="11">
        <v>37</v>
      </c>
    </row>
    <row r="7" spans="3:4" x14ac:dyDescent="0.25">
      <c r="C7" s="10" t="s">
        <v>72</v>
      </c>
      <c r="D7" s="11">
        <v>1</v>
      </c>
    </row>
    <row r="8" spans="3:4" x14ac:dyDescent="0.25">
      <c r="C8" s="10" t="s">
        <v>148</v>
      </c>
      <c r="D8" s="11">
        <v>1</v>
      </c>
    </row>
    <row r="9" spans="3:4" x14ac:dyDescent="0.25">
      <c r="C9" s="10" t="s">
        <v>461</v>
      </c>
      <c r="D9" s="11">
        <v>48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1BCD8-F5FC-473D-9213-73508A0278D1}">
  <dimension ref="C4:D13"/>
  <sheetViews>
    <sheetView workbookViewId="0">
      <selection activeCell="P12" sqref="P12"/>
    </sheetView>
  </sheetViews>
  <sheetFormatPr defaultRowHeight="15" x14ac:dyDescent="0.25"/>
  <cols>
    <col min="3" max="3" width="15.42578125" bestFit="1" customWidth="1"/>
    <col min="4" max="4" width="25.5703125" bestFit="1" customWidth="1"/>
    <col min="5" max="5" width="8.28515625" bestFit="1" customWidth="1"/>
    <col min="6" max="6" width="5.7109375" bestFit="1" customWidth="1"/>
    <col min="7" max="7" width="10.5703125" bestFit="1" customWidth="1"/>
    <col min="8" max="8" width="6.28515625" bestFit="1" customWidth="1"/>
    <col min="9" max="9" width="7.5703125" bestFit="1" customWidth="1"/>
    <col min="10" max="10" width="8.7109375" bestFit="1" customWidth="1"/>
    <col min="11" max="11" width="8.42578125" bestFit="1" customWidth="1"/>
    <col min="12" max="12" width="5.5703125" bestFit="1" customWidth="1"/>
    <col min="13" max="13" width="11.28515625" bestFit="1" customWidth="1"/>
  </cols>
  <sheetData>
    <row r="4" spans="3:4" x14ac:dyDescent="0.25">
      <c r="C4" s="9" t="s">
        <v>460</v>
      </c>
      <c r="D4" s="10" t="s">
        <v>464</v>
      </c>
    </row>
    <row r="5" spans="3:4" x14ac:dyDescent="0.25">
      <c r="C5" s="10" t="s">
        <v>28</v>
      </c>
      <c r="D5" s="11">
        <v>4.7</v>
      </c>
    </row>
    <row r="6" spans="3:4" x14ac:dyDescent="0.25">
      <c r="C6" s="10" t="s">
        <v>65</v>
      </c>
      <c r="D6" s="11">
        <v>4.5</v>
      </c>
    </row>
    <row r="7" spans="3:4" x14ac:dyDescent="0.25">
      <c r="C7" s="10" t="s">
        <v>48</v>
      </c>
      <c r="D7" s="11">
        <v>4.8</v>
      </c>
    </row>
    <row r="8" spans="3:4" x14ac:dyDescent="0.25">
      <c r="C8" s="10" t="s">
        <v>165</v>
      </c>
      <c r="D8" s="11">
        <v>3.5</v>
      </c>
    </row>
    <row r="9" spans="3:4" x14ac:dyDescent="0.25">
      <c r="C9" s="10" t="s">
        <v>122</v>
      </c>
      <c r="D9" s="11">
        <v>4.5</v>
      </c>
    </row>
    <row r="10" spans="3:4" x14ac:dyDescent="0.25">
      <c r="C10" s="10" t="s">
        <v>85</v>
      </c>
      <c r="D10" s="11">
        <v>4.3</v>
      </c>
    </row>
    <row r="11" spans="3:4" x14ac:dyDescent="0.25">
      <c r="C11" s="10" t="s">
        <v>211</v>
      </c>
      <c r="D11" s="11">
        <v>4.2</v>
      </c>
    </row>
    <row r="12" spans="3:4" x14ac:dyDescent="0.25">
      <c r="C12" s="10" t="s">
        <v>135</v>
      </c>
      <c r="D12" s="11">
        <v>4.3</v>
      </c>
    </row>
    <row r="13" spans="3:4" x14ac:dyDescent="0.25">
      <c r="C13" s="10" t="s">
        <v>461</v>
      </c>
      <c r="D13" s="11">
        <v>4.8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A405-E6D7-4A62-9B2A-C3352AFF90E4}">
  <dimension ref="C2:O35"/>
  <sheetViews>
    <sheetView workbookViewId="0">
      <selection activeCell="O2" sqref="O2"/>
    </sheetView>
  </sheetViews>
  <sheetFormatPr defaultRowHeight="15" x14ac:dyDescent="0.25"/>
  <cols>
    <col min="3" max="3" width="15.42578125" bestFit="1" customWidth="1"/>
    <col min="4" max="4" width="21.42578125" bestFit="1" customWidth="1"/>
    <col min="11" max="11" width="10.7109375" bestFit="1" customWidth="1"/>
  </cols>
  <sheetData>
    <row r="2" spans="3:15" x14ac:dyDescent="0.25">
      <c r="I2">
        <f>COUNTA(Employee_Raw_Data[Employee Name])</f>
        <v>48</v>
      </c>
      <c r="K2" s="13">
        <f>AVERAGE(Employee_Raw_Data[Salary (Monthly)])</f>
        <v>67812.5</v>
      </c>
      <c r="M2" s="14">
        <f>AVERAGE(Employee_Raw_Data[Performance Rating])</f>
        <v>3.8437500000000004</v>
      </c>
      <c r="O2" s="15">
        <f>AVERAGE(Employee_Raw_Data[Attendance %])</f>
        <v>2.7866666666666657</v>
      </c>
    </row>
    <row r="4" spans="3:15" x14ac:dyDescent="0.25">
      <c r="C4" s="9" t="s">
        <v>460</v>
      </c>
      <c r="D4" s="10" t="s">
        <v>465</v>
      </c>
    </row>
    <row r="5" spans="3:15" x14ac:dyDescent="0.25">
      <c r="C5" s="10" t="s">
        <v>46</v>
      </c>
      <c r="D5" s="11">
        <v>23</v>
      </c>
    </row>
    <row r="6" spans="3:15" x14ac:dyDescent="0.25">
      <c r="C6" s="10">
        <v>0.82</v>
      </c>
      <c r="D6" s="11">
        <v>1</v>
      </c>
    </row>
    <row r="7" spans="3:15" x14ac:dyDescent="0.25">
      <c r="C7" s="10">
        <v>0.83</v>
      </c>
      <c r="D7" s="11">
        <v>1</v>
      </c>
    </row>
    <row r="8" spans="3:15" x14ac:dyDescent="0.25">
      <c r="C8" s="10">
        <v>0.84</v>
      </c>
      <c r="D8" s="11">
        <v>1</v>
      </c>
    </row>
    <row r="9" spans="3:15" x14ac:dyDescent="0.25">
      <c r="C9" s="10">
        <v>0.85</v>
      </c>
      <c r="D9" s="11">
        <v>1</v>
      </c>
    </row>
    <row r="10" spans="3:15" x14ac:dyDescent="0.25">
      <c r="C10" s="10">
        <v>0.86</v>
      </c>
      <c r="D10" s="11">
        <v>1</v>
      </c>
    </row>
    <row r="11" spans="3:15" x14ac:dyDescent="0.25">
      <c r="C11" s="10">
        <v>0.89</v>
      </c>
      <c r="D11" s="11">
        <v>1</v>
      </c>
    </row>
    <row r="12" spans="3:15" x14ac:dyDescent="0.25">
      <c r="C12" s="10">
        <v>0.9</v>
      </c>
      <c r="D12" s="11">
        <v>2</v>
      </c>
    </row>
    <row r="13" spans="3:15" x14ac:dyDescent="0.25">
      <c r="C13" s="10">
        <v>0.91</v>
      </c>
      <c r="D13" s="11">
        <v>1</v>
      </c>
    </row>
    <row r="14" spans="3:15" x14ac:dyDescent="0.25">
      <c r="C14" s="10">
        <v>0.92</v>
      </c>
      <c r="D14" s="11">
        <v>3</v>
      </c>
    </row>
    <row r="15" spans="3:15" x14ac:dyDescent="0.25">
      <c r="C15" s="10">
        <v>0.93</v>
      </c>
      <c r="D15" s="11">
        <v>3</v>
      </c>
    </row>
    <row r="16" spans="3:15" x14ac:dyDescent="0.25">
      <c r="C16" s="10">
        <v>0.94</v>
      </c>
      <c r="D16" s="11">
        <v>1</v>
      </c>
    </row>
    <row r="17" spans="3:4" x14ac:dyDescent="0.25">
      <c r="C17" s="10">
        <v>0.95</v>
      </c>
      <c r="D17" s="11">
        <v>2</v>
      </c>
    </row>
    <row r="18" spans="3:4" x14ac:dyDescent="0.25">
      <c r="C18" s="10">
        <v>0.96</v>
      </c>
      <c r="D18" s="11">
        <v>1</v>
      </c>
    </row>
    <row r="19" spans="3:4" x14ac:dyDescent="0.25">
      <c r="C19" s="10">
        <v>0.98</v>
      </c>
      <c r="D19" s="11">
        <v>2</v>
      </c>
    </row>
    <row r="20" spans="3:4" x14ac:dyDescent="0.25">
      <c r="C20" s="10">
        <v>0.99</v>
      </c>
      <c r="D20" s="11">
        <v>1</v>
      </c>
    </row>
    <row r="21" spans="3:4" x14ac:dyDescent="0.25">
      <c r="C21" s="10">
        <v>91</v>
      </c>
      <c r="D21" s="11">
        <v>1</v>
      </c>
    </row>
    <row r="22" spans="3:4" x14ac:dyDescent="0.25">
      <c r="C22" s="10" t="s">
        <v>27</v>
      </c>
      <c r="D22" s="11">
        <v>25</v>
      </c>
    </row>
    <row r="23" spans="3:4" x14ac:dyDescent="0.25">
      <c r="C23" s="10">
        <v>0.81</v>
      </c>
      <c r="D23" s="11">
        <v>1</v>
      </c>
    </row>
    <row r="24" spans="3:4" x14ac:dyDescent="0.25">
      <c r="C24" s="10">
        <v>0.84</v>
      </c>
      <c r="D24" s="11">
        <v>1</v>
      </c>
    </row>
    <row r="25" spans="3:4" x14ac:dyDescent="0.25">
      <c r="C25" s="10">
        <v>0.85</v>
      </c>
      <c r="D25" s="11">
        <v>3</v>
      </c>
    </row>
    <row r="26" spans="3:4" x14ac:dyDescent="0.25">
      <c r="C26" s="10">
        <v>0.87</v>
      </c>
      <c r="D26" s="11">
        <v>2</v>
      </c>
    </row>
    <row r="27" spans="3:4" x14ac:dyDescent="0.25">
      <c r="C27" s="10">
        <v>0.88</v>
      </c>
      <c r="D27" s="11">
        <v>3</v>
      </c>
    </row>
    <row r="28" spans="3:4" x14ac:dyDescent="0.25">
      <c r="C28" s="10">
        <v>0.89</v>
      </c>
      <c r="D28" s="11">
        <v>2</v>
      </c>
    </row>
    <row r="29" spans="3:4" x14ac:dyDescent="0.25">
      <c r="C29" s="10">
        <v>0.91</v>
      </c>
      <c r="D29" s="11">
        <v>2</v>
      </c>
    </row>
    <row r="30" spans="3:4" x14ac:dyDescent="0.25">
      <c r="C30" s="10">
        <v>0.93</v>
      </c>
      <c r="D30" s="11">
        <v>1</v>
      </c>
    </row>
    <row r="31" spans="3:4" x14ac:dyDescent="0.25">
      <c r="C31" s="10">
        <v>0.94</v>
      </c>
      <c r="D31" s="11">
        <v>3</v>
      </c>
    </row>
    <row r="32" spans="3:4" x14ac:dyDescent="0.25">
      <c r="C32" s="10">
        <v>0.95</v>
      </c>
      <c r="D32" s="11">
        <v>2</v>
      </c>
    </row>
    <row r="33" spans="3:4" x14ac:dyDescent="0.25">
      <c r="C33" s="10">
        <v>0.96</v>
      </c>
      <c r="D33" s="11">
        <v>2</v>
      </c>
    </row>
    <row r="34" spans="3:4" x14ac:dyDescent="0.25">
      <c r="C34" s="10">
        <v>0.97</v>
      </c>
      <c r="D34" s="11">
        <v>3</v>
      </c>
    </row>
    <row r="35" spans="3:4" x14ac:dyDescent="0.25">
      <c r="C35" s="10" t="s">
        <v>461</v>
      </c>
      <c r="D35" s="11">
        <v>48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BBD05-433F-4B74-AF01-3F1ADA753F57}">
  <dimension ref="B1:L1"/>
  <sheetViews>
    <sheetView showGridLines="0" zoomScale="90" zoomScaleNormal="90" workbookViewId="0">
      <selection activeCell="S23" sqref="S23"/>
    </sheetView>
  </sheetViews>
  <sheetFormatPr defaultRowHeight="15" x14ac:dyDescent="0.25"/>
  <cols>
    <col min="1" max="10" width="9.140625" style="12"/>
    <col min="11" max="11" width="9.7109375" style="12" customWidth="1"/>
    <col min="12" max="16384" width="9.140625" style="12"/>
  </cols>
  <sheetData>
    <row r="1" spans="2:12" ht="15.75" x14ac:dyDescent="0.25">
      <c r="B1" s="16" t="s">
        <v>466</v>
      </c>
      <c r="E1" s="17" t="s">
        <v>467</v>
      </c>
      <c r="I1" s="16" t="s">
        <v>468</v>
      </c>
      <c r="L1" s="18" t="s">
        <v>469</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3ED9A-72E0-4175-8711-79CD5AD4DD64}">
  <dimension ref="B2:P51"/>
  <sheetViews>
    <sheetView showGridLines="0" tabSelected="1" workbookViewId="0">
      <selection activeCell="M4" sqref="M4"/>
    </sheetView>
  </sheetViews>
  <sheetFormatPr defaultRowHeight="15" x14ac:dyDescent="0.25"/>
  <cols>
    <col min="1" max="16384" width="9.140625" style="19"/>
  </cols>
  <sheetData>
    <row r="2" spans="2:14" ht="33" x14ac:dyDescent="0.25">
      <c r="B2" s="20" t="s">
        <v>470</v>
      </c>
      <c r="C2" s="20"/>
      <c r="D2" s="20"/>
      <c r="E2" s="20"/>
      <c r="F2" s="20"/>
      <c r="G2" s="20"/>
      <c r="H2" s="20"/>
      <c r="I2" s="20"/>
      <c r="J2" s="20"/>
      <c r="K2" s="20"/>
      <c r="L2" s="20"/>
    </row>
    <row r="4" spans="2:14" ht="18.75" x14ac:dyDescent="0.25">
      <c r="B4" s="26" t="s">
        <v>471</v>
      </c>
      <c r="C4" s="26"/>
      <c r="D4" s="22"/>
      <c r="E4" s="22"/>
      <c r="F4" s="22"/>
      <c r="G4" s="22"/>
      <c r="H4" s="22"/>
      <c r="I4" s="22"/>
      <c r="J4" s="22"/>
      <c r="K4" s="22"/>
      <c r="L4" s="22"/>
    </row>
    <row r="5" spans="2:14" x14ac:dyDescent="0.25">
      <c r="B5" s="23"/>
      <c r="C5" s="22"/>
      <c r="D5" s="22"/>
      <c r="E5" s="22"/>
      <c r="F5" s="22"/>
      <c r="G5" s="22"/>
      <c r="H5" s="22"/>
      <c r="I5" s="22"/>
      <c r="J5" s="22"/>
      <c r="K5" s="22"/>
      <c r="L5" s="22"/>
    </row>
    <row r="6" spans="2:14" x14ac:dyDescent="0.25">
      <c r="B6" s="27" t="s">
        <v>472</v>
      </c>
      <c r="C6" s="24"/>
      <c r="D6" s="24"/>
      <c r="E6" s="24"/>
      <c r="F6" s="24"/>
      <c r="G6" s="24"/>
      <c r="H6" s="24"/>
      <c r="I6" s="24"/>
      <c r="J6" s="24"/>
      <c r="K6" s="24"/>
      <c r="L6" s="24"/>
    </row>
    <row r="7" spans="2:14" x14ac:dyDescent="0.25">
      <c r="B7" s="27" t="s">
        <v>473</v>
      </c>
      <c r="C7" s="24"/>
      <c r="D7" s="24"/>
      <c r="E7" s="24"/>
      <c r="F7" s="24"/>
      <c r="G7" s="24"/>
      <c r="H7" s="24"/>
      <c r="I7" s="24"/>
      <c r="J7" s="24"/>
      <c r="K7" s="24"/>
      <c r="L7" s="24"/>
    </row>
    <row r="8" spans="2:14" x14ac:dyDescent="0.25">
      <c r="B8" s="27" t="s">
        <v>474</v>
      </c>
      <c r="C8" s="24"/>
      <c r="D8" s="24"/>
      <c r="E8" s="24"/>
      <c r="F8" s="24"/>
      <c r="G8" s="24"/>
      <c r="H8" s="24"/>
      <c r="I8" s="24"/>
      <c r="J8" s="24"/>
      <c r="K8" s="24"/>
      <c r="L8" s="24"/>
    </row>
    <row r="9" spans="2:14" x14ac:dyDescent="0.25">
      <c r="B9" s="27" t="s">
        <v>475</v>
      </c>
      <c r="C9" s="24"/>
      <c r="D9" s="24"/>
      <c r="E9" s="24"/>
      <c r="F9" s="24"/>
      <c r="G9" s="24"/>
      <c r="H9" s="24"/>
      <c r="I9" s="24"/>
      <c r="J9" s="24"/>
      <c r="K9" s="24"/>
      <c r="L9" s="24"/>
    </row>
    <row r="10" spans="2:14" x14ac:dyDescent="0.25">
      <c r="B10" s="22"/>
      <c r="C10" s="22"/>
      <c r="D10" s="22"/>
      <c r="E10" s="22"/>
      <c r="F10" s="22"/>
      <c r="G10" s="22"/>
      <c r="H10" s="22"/>
      <c r="I10" s="22"/>
      <c r="J10" s="22"/>
      <c r="K10" s="22"/>
      <c r="L10" s="22"/>
    </row>
    <row r="13" spans="2:14" ht="15.75" x14ac:dyDescent="0.25">
      <c r="B13" s="25" t="s">
        <v>476</v>
      </c>
      <c r="C13" s="28"/>
      <c r="D13" s="28"/>
      <c r="E13" s="22"/>
      <c r="F13" s="22"/>
      <c r="G13" s="22"/>
      <c r="H13" s="22"/>
      <c r="I13" s="22"/>
      <c r="J13" s="22"/>
      <c r="K13" s="22"/>
      <c r="L13" s="22"/>
      <c r="M13" s="22"/>
      <c r="N13" s="22"/>
    </row>
    <row r="14" spans="2:14" x14ac:dyDescent="0.25">
      <c r="B14" s="23"/>
      <c r="C14" s="22"/>
      <c r="D14" s="22"/>
      <c r="E14" s="22"/>
      <c r="F14" s="22"/>
      <c r="G14" s="22"/>
      <c r="H14" s="22"/>
      <c r="I14" s="22"/>
      <c r="J14" s="22"/>
      <c r="K14" s="22"/>
      <c r="L14" s="22"/>
      <c r="M14" s="22"/>
      <c r="N14" s="22"/>
    </row>
    <row r="15" spans="2:14" x14ac:dyDescent="0.25">
      <c r="B15" s="27" t="s">
        <v>477</v>
      </c>
      <c r="C15" s="24"/>
      <c r="D15" s="24"/>
      <c r="E15" s="24"/>
      <c r="F15" s="24"/>
      <c r="G15" s="24"/>
      <c r="H15" s="24"/>
      <c r="I15" s="24"/>
      <c r="J15" s="24"/>
      <c r="K15" s="24"/>
      <c r="L15" s="24"/>
      <c r="M15" s="24"/>
      <c r="N15" s="24"/>
    </row>
    <row r="16" spans="2:14" x14ac:dyDescent="0.25">
      <c r="B16" s="27" t="s">
        <v>478</v>
      </c>
      <c r="C16" s="24"/>
      <c r="D16" s="24"/>
      <c r="E16" s="24"/>
      <c r="F16" s="24"/>
      <c r="G16" s="24"/>
      <c r="H16" s="24"/>
      <c r="I16" s="24"/>
      <c r="J16" s="24"/>
      <c r="K16" s="24"/>
      <c r="L16" s="24"/>
      <c r="M16" s="24"/>
      <c r="N16" s="24"/>
    </row>
    <row r="17" spans="2:16" x14ac:dyDescent="0.25">
      <c r="B17" s="27" t="s">
        <v>479</v>
      </c>
      <c r="C17" s="24"/>
      <c r="D17" s="24"/>
      <c r="E17" s="24"/>
      <c r="F17" s="24"/>
      <c r="G17" s="24"/>
      <c r="H17" s="24"/>
      <c r="I17" s="24"/>
      <c r="J17" s="24"/>
      <c r="K17" s="24"/>
      <c r="L17" s="24"/>
      <c r="M17" s="24"/>
      <c r="N17" s="24"/>
    </row>
    <row r="18" spans="2:16" x14ac:dyDescent="0.25">
      <c r="B18" s="22"/>
      <c r="C18" s="22"/>
      <c r="D18" s="22"/>
      <c r="E18" s="22"/>
      <c r="F18" s="22"/>
      <c r="G18" s="22"/>
      <c r="H18" s="22"/>
      <c r="I18" s="22"/>
      <c r="J18" s="22"/>
      <c r="K18" s="22"/>
      <c r="L18" s="22"/>
      <c r="M18" s="22"/>
      <c r="N18" s="22"/>
    </row>
    <row r="21" spans="2:16" ht="15.75" x14ac:dyDescent="0.25">
      <c r="B21" s="21" t="s">
        <v>480</v>
      </c>
      <c r="C21" s="29"/>
      <c r="D21" s="29"/>
      <c r="E21" s="29"/>
      <c r="F21" s="22"/>
      <c r="G21" s="22"/>
      <c r="H21" s="22"/>
      <c r="I21" s="22"/>
      <c r="J21" s="22"/>
      <c r="K21" s="22"/>
      <c r="L21" s="22"/>
      <c r="M21" s="22"/>
      <c r="N21" s="22"/>
      <c r="O21" s="22"/>
      <c r="P21" s="22"/>
    </row>
    <row r="22" spans="2:16" x14ac:dyDescent="0.25">
      <c r="B22" s="23"/>
      <c r="C22" s="22"/>
      <c r="D22" s="22"/>
      <c r="E22" s="22"/>
      <c r="F22" s="22"/>
      <c r="G22" s="22"/>
      <c r="H22" s="22"/>
      <c r="I22" s="22"/>
      <c r="J22" s="22"/>
      <c r="K22" s="22"/>
      <c r="L22" s="22"/>
      <c r="M22" s="22"/>
      <c r="N22" s="22"/>
      <c r="O22" s="22"/>
      <c r="P22" s="22"/>
    </row>
    <row r="23" spans="2:16" x14ac:dyDescent="0.25">
      <c r="B23" s="27" t="s">
        <v>481</v>
      </c>
      <c r="C23" s="24"/>
      <c r="D23" s="24"/>
      <c r="E23" s="24"/>
      <c r="F23" s="24"/>
      <c r="G23" s="24"/>
      <c r="H23" s="24"/>
      <c r="I23" s="24"/>
      <c r="J23" s="24"/>
      <c r="K23" s="24"/>
      <c r="L23" s="24"/>
      <c r="M23" s="24"/>
      <c r="N23" s="24"/>
      <c r="O23" s="24"/>
      <c r="P23" s="24"/>
    </row>
    <row r="24" spans="2:16" x14ac:dyDescent="0.25">
      <c r="B24" s="27" t="s">
        <v>482</v>
      </c>
      <c r="C24" s="24"/>
      <c r="D24" s="24"/>
      <c r="E24" s="24"/>
      <c r="F24" s="24"/>
      <c r="G24" s="24"/>
      <c r="H24" s="24"/>
      <c r="I24" s="24"/>
      <c r="J24" s="24"/>
      <c r="K24" s="24"/>
      <c r="L24" s="24"/>
      <c r="M24" s="24"/>
      <c r="N24" s="24"/>
      <c r="O24" s="24"/>
      <c r="P24" s="24"/>
    </row>
    <row r="25" spans="2:16" x14ac:dyDescent="0.25">
      <c r="B25" s="27" t="s">
        <v>483</v>
      </c>
      <c r="C25" s="24"/>
      <c r="D25" s="24"/>
      <c r="E25" s="24"/>
      <c r="F25" s="24"/>
      <c r="G25" s="24"/>
      <c r="H25" s="24"/>
      <c r="I25" s="24"/>
      <c r="J25" s="24"/>
      <c r="K25" s="24"/>
      <c r="L25" s="24"/>
      <c r="M25" s="24"/>
      <c r="N25" s="24"/>
      <c r="O25" s="24"/>
      <c r="P25" s="24"/>
    </row>
    <row r="29" spans="2:16" ht="15.75" x14ac:dyDescent="0.25">
      <c r="B29" s="21" t="s">
        <v>484</v>
      </c>
      <c r="C29" s="29"/>
      <c r="D29" s="29"/>
      <c r="E29" s="29"/>
      <c r="F29" s="22"/>
      <c r="G29" s="22"/>
      <c r="H29" s="22"/>
      <c r="I29" s="22"/>
      <c r="J29" s="22"/>
      <c r="K29" s="22"/>
      <c r="L29" s="22"/>
      <c r="M29" s="22"/>
      <c r="N29" s="22"/>
      <c r="O29" s="22"/>
    </row>
    <row r="30" spans="2:16" x14ac:dyDescent="0.25">
      <c r="B30" s="23"/>
      <c r="C30" s="22"/>
      <c r="D30" s="22"/>
      <c r="E30" s="22"/>
      <c r="F30" s="22"/>
      <c r="G30" s="22"/>
      <c r="H30" s="22"/>
      <c r="I30" s="22"/>
      <c r="J30" s="22"/>
      <c r="K30" s="22"/>
      <c r="L30" s="22"/>
      <c r="M30" s="22"/>
      <c r="N30" s="22"/>
      <c r="O30" s="22"/>
    </row>
    <row r="31" spans="2:16" x14ac:dyDescent="0.25">
      <c r="B31" s="27" t="s">
        <v>485</v>
      </c>
      <c r="C31" s="24"/>
      <c r="D31" s="24"/>
      <c r="E31" s="24"/>
      <c r="F31" s="24"/>
      <c r="G31" s="24"/>
      <c r="H31" s="24"/>
      <c r="I31" s="24"/>
      <c r="J31" s="24"/>
      <c r="K31" s="24"/>
      <c r="L31" s="24"/>
      <c r="M31" s="24"/>
      <c r="N31" s="24"/>
      <c r="O31" s="24"/>
    </row>
    <row r="32" spans="2:16" x14ac:dyDescent="0.25">
      <c r="B32" s="27" t="s">
        <v>486</v>
      </c>
      <c r="C32" s="24"/>
      <c r="D32" s="24"/>
      <c r="E32" s="24"/>
      <c r="F32" s="24"/>
      <c r="G32" s="24"/>
      <c r="H32" s="24"/>
      <c r="I32" s="24"/>
      <c r="J32" s="24"/>
      <c r="K32" s="24"/>
      <c r="L32" s="24"/>
      <c r="M32" s="24"/>
      <c r="N32" s="24"/>
      <c r="O32" s="24"/>
    </row>
    <row r="33" spans="2:15" x14ac:dyDescent="0.25">
      <c r="B33" s="27" t="s">
        <v>487</v>
      </c>
      <c r="C33" s="24"/>
      <c r="D33" s="24"/>
      <c r="E33" s="24"/>
      <c r="F33" s="24"/>
      <c r="G33" s="24"/>
      <c r="H33" s="24"/>
      <c r="I33" s="24"/>
      <c r="J33" s="24"/>
      <c r="K33" s="24"/>
      <c r="L33" s="24"/>
      <c r="M33" s="24"/>
      <c r="N33" s="24"/>
      <c r="O33" s="24"/>
    </row>
    <row r="34" spans="2:15" x14ac:dyDescent="0.25">
      <c r="B34" s="22"/>
      <c r="C34" s="22"/>
      <c r="D34" s="22"/>
      <c r="E34" s="22"/>
      <c r="F34" s="22"/>
      <c r="G34" s="22"/>
      <c r="H34" s="22"/>
      <c r="I34" s="22"/>
      <c r="J34" s="22"/>
      <c r="K34" s="22"/>
      <c r="L34" s="22"/>
      <c r="M34" s="22"/>
      <c r="N34" s="22"/>
      <c r="O34" s="22"/>
    </row>
    <row r="37" spans="2:15" ht="15.75" x14ac:dyDescent="0.25">
      <c r="B37" s="21" t="s">
        <v>488</v>
      </c>
      <c r="C37" s="29"/>
      <c r="D37" s="29"/>
      <c r="E37" s="22"/>
      <c r="F37" s="22"/>
      <c r="G37" s="22"/>
      <c r="H37" s="22"/>
      <c r="I37" s="22"/>
      <c r="J37" s="22"/>
      <c r="K37" s="22"/>
    </row>
    <row r="38" spans="2:15" x14ac:dyDescent="0.25">
      <c r="B38" s="23"/>
      <c r="C38" s="22"/>
      <c r="D38" s="22"/>
      <c r="E38" s="22"/>
      <c r="F38" s="22"/>
      <c r="G38" s="22"/>
      <c r="H38" s="22"/>
      <c r="I38" s="22"/>
      <c r="J38" s="22"/>
      <c r="K38" s="22"/>
    </row>
    <row r="39" spans="2:15" x14ac:dyDescent="0.25">
      <c r="B39" s="27" t="s">
        <v>489</v>
      </c>
      <c r="C39" s="24"/>
      <c r="D39" s="24"/>
      <c r="E39" s="24"/>
      <c r="F39" s="24"/>
      <c r="G39" s="24"/>
      <c r="H39" s="24"/>
      <c r="I39" s="24"/>
      <c r="J39" s="24"/>
      <c r="K39" s="24"/>
    </row>
    <row r="40" spans="2:15" x14ac:dyDescent="0.25">
      <c r="B40" s="27" t="s">
        <v>490</v>
      </c>
      <c r="C40" s="24"/>
      <c r="D40" s="24"/>
      <c r="E40" s="24"/>
      <c r="F40" s="24"/>
      <c r="G40" s="24"/>
      <c r="H40" s="24"/>
      <c r="I40" s="24"/>
      <c r="J40" s="24"/>
      <c r="K40" s="24"/>
    </row>
    <row r="41" spans="2:15" x14ac:dyDescent="0.25">
      <c r="B41" s="27" t="s">
        <v>491</v>
      </c>
      <c r="C41" s="24"/>
      <c r="D41" s="24"/>
      <c r="E41" s="24"/>
      <c r="F41" s="24"/>
      <c r="G41" s="24"/>
      <c r="H41" s="24"/>
      <c r="I41" s="24"/>
      <c r="J41" s="24"/>
      <c r="K41" s="24"/>
    </row>
    <row r="42" spans="2:15" x14ac:dyDescent="0.25">
      <c r="B42" s="22"/>
      <c r="C42" s="22"/>
      <c r="D42" s="22"/>
      <c r="E42" s="22"/>
      <c r="F42" s="22"/>
      <c r="G42" s="22"/>
      <c r="H42" s="22"/>
      <c r="I42" s="22"/>
      <c r="J42" s="22"/>
      <c r="K42" s="22"/>
    </row>
    <row r="45" spans="2:15" ht="21" x14ac:dyDescent="0.35">
      <c r="B45" s="30" t="s">
        <v>492</v>
      </c>
      <c r="C45" s="31"/>
      <c r="D45" s="31"/>
      <c r="E45" s="22"/>
      <c r="F45" s="22"/>
      <c r="G45" s="22"/>
      <c r="H45" s="22"/>
      <c r="I45" s="22"/>
      <c r="J45" s="22"/>
      <c r="K45" s="22"/>
      <c r="L45" s="22"/>
    </row>
    <row r="46" spans="2:15" x14ac:dyDescent="0.25">
      <c r="B46" s="23"/>
      <c r="C46" s="22"/>
      <c r="D46" s="22"/>
      <c r="E46" s="22"/>
      <c r="F46" s="22"/>
      <c r="G46" s="22"/>
      <c r="H46" s="22"/>
      <c r="I46" s="22"/>
      <c r="J46" s="22"/>
      <c r="K46" s="22"/>
      <c r="L46" s="22"/>
    </row>
    <row r="47" spans="2:15" x14ac:dyDescent="0.25">
      <c r="B47" s="27" t="s">
        <v>493</v>
      </c>
      <c r="C47" s="24"/>
      <c r="D47" s="24"/>
      <c r="E47" s="24"/>
      <c r="F47" s="24"/>
      <c r="G47" s="24"/>
      <c r="H47" s="24"/>
      <c r="I47" s="24"/>
      <c r="J47" s="24"/>
      <c r="K47" s="24"/>
      <c r="L47" s="24"/>
    </row>
    <row r="48" spans="2:15" x14ac:dyDescent="0.25">
      <c r="B48" s="27" t="s">
        <v>494</v>
      </c>
      <c r="C48" s="24"/>
      <c r="D48" s="24"/>
      <c r="E48" s="24"/>
      <c r="F48" s="24"/>
      <c r="G48" s="24"/>
      <c r="H48" s="24"/>
      <c r="I48" s="24"/>
      <c r="J48" s="24"/>
      <c r="K48" s="24"/>
      <c r="L48" s="24"/>
    </row>
    <row r="49" spans="2:12" x14ac:dyDescent="0.25">
      <c r="B49" s="27" t="s">
        <v>495</v>
      </c>
      <c r="C49" s="24"/>
      <c r="D49" s="24"/>
      <c r="E49" s="24"/>
      <c r="F49" s="24"/>
      <c r="G49" s="24"/>
      <c r="H49" s="24"/>
      <c r="I49" s="24"/>
      <c r="J49" s="24"/>
      <c r="K49" s="24"/>
      <c r="L49" s="24"/>
    </row>
    <row r="50" spans="2:12" x14ac:dyDescent="0.25">
      <c r="B50" s="27" t="s">
        <v>496</v>
      </c>
      <c r="C50" s="24"/>
      <c r="D50" s="24"/>
      <c r="E50" s="24"/>
      <c r="F50" s="24"/>
      <c r="G50" s="24"/>
      <c r="H50" s="24"/>
      <c r="I50" s="24"/>
      <c r="J50" s="24"/>
      <c r="K50" s="24"/>
      <c r="L50" s="24"/>
    </row>
    <row r="51" spans="2:12" x14ac:dyDescent="0.25">
      <c r="B51" s="22"/>
      <c r="C51" s="22"/>
      <c r="D51" s="22"/>
      <c r="E51" s="22"/>
      <c r="F51" s="22"/>
      <c r="G51" s="22"/>
      <c r="H51" s="22"/>
      <c r="I51" s="22"/>
      <c r="J51" s="22"/>
      <c r="K51" s="22"/>
      <c r="L51" s="22"/>
    </row>
  </sheetData>
  <mergeCells count="1">
    <mergeCell ref="B2:L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3812349-CD91-4CA7-AC5A-B3D728C81D6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Employee_Raw_Data</vt:lpstr>
      <vt:lpstr>(Power Query Used)</vt:lpstr>
      <vt:lpstr>AVG&amp;Bonus</vt:lpstr>
      <vt:lpstr>EMP.Type-Wise EMP. Count</vt:lpstr>
      <vt:lpstr>State &amp; Perfo. Rating</vt:lpstr>
      <vt:lpstr>Atten. &amp; Proj. Count</vt:lpstr>
      <vt:lpstr>DASHBOARD ANALYSIS</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PIYUSH OG</cp:lastModifiedBy>
  <dcterms:created xsi:type="dcterms:W3CDTF">2026-05-14T16:07:09Z</dcterms:created>
  <dcterms:modified xsi:type="dcterms:W3CDTF">2026-05-17T15:42:54Z</dcterms:modified>
</cp:coreProperties>
</file>